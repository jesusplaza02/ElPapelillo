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09BEEE1-A713-4F1D-89B9-A549FD15C0B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lan de Pruebas" sheetId="1" r:id="rId1"/>
  </sheets>
  <definedNames>
    <definedName name="ClassAvgPoints">#REF!</definedName>
    <definedName name="GradeRange">'Plan de Pruebas'!$E$18:$E$19</definedName>
    <definedName name="Grades">'Plan de Pruebas'!$G$18:$G$19</definedName>
    <definedName name="PointValues">#REF!</definedName>
    <definedName name="StudentGrades">#REF!</definedName>
    <definedName name="TotalPoin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5FLhwzJcRaGQ2n4zASSpt06lG14qGNn6NV7pwJHdggs="/>
    </ext>
  </extLst>
</workbook>
</file>

<file path=xl/calcChain.xml><?xml version="1.0" encoding="utf-8"?>
<calcChain xmlns="http://schemas.openxmlformats.org/spreadsheetml/2006/main">
  <c r="E11" i="1" l="1"/>
  <c r="E10" i="1"/>
  <c r="E9" i="1"/>
  <c r="E1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<sst xmlns="http://schemas.openxmlformats.org/spreadsheetml/2006/main" count="188" uniqueCount="121">
  <si>
    <t>HTTPS://URLDELPROYECTO.COM</t>
  </si>
  <si>
    <t>Resumen de Resultados de Pruebas</t>
  </si>
  <si>
    <t>Estado</t>
  </si>
  <si>
    <t>Total</t>
  </si>
  <si>
    <t>Pending</t>
  </si>
  <si>
    <t>Pass</t>
  </si>
  <si>
    <t>Failed</t>
  </si>
  <si>
    <t>`</t>
  </si>
  <si>
    <t>Resultados de Pruebas</t>
  </si>
  <si>
    <t>Funcionalidad</t>
  </si>
  <si>
    <t>ID</t>
  </si>
  <si>
    <t>Título</t>
  </si>
  <si>
    <t>Resultado Esperado</t>
  </si>
  <si>
    <t>Comentarios</t>
  </si>
  <si>
    <t>Errores</t>
  </si>
  <si>
    <t>TC-1</t>
  </si>
  <si>
    <t>BUG-1</t>
  </si>
  <si>
    <t>REPORTE DE ERRORES</t>
  </si>
  <si>
    <t>Pasos para reproducir</t>
  </si>
  <si>
    <t>Resultado Actual</t>
  </si>
  <si>
    <t>Prioridad</t>
  </si>
  <si>
    <t>Baja</t>
  </si>
  <si>
    <t>Pendiente</t>
  </si>
  <si>
    <t>BUG-2</t>
  </si>
  <si>
    <t>BUG-3</t>
  </si>
  <si>
    <t>BUG-4</t>
  </si>
  <si>
    <t>BUG-5</t>
  </si>
  <si>
    <t>BUG-6</t>
  </si>
  <si>
    <t>BUG-7</t>
  </si>
  <si>
    <t>BUG-8</t>
  </si>
  <si>
    <t>BUG-9</t>
  </si>
  <si>
    <t>BUG-10</t>
  </si>
  <si>
    <t>BUG-11</t>
  </si>
  <si>
    <t>BUG-12</t>
  </si>
  <si>
    <t>BUG-13</t>
  </si>
  <si>
    <t>BUG-14</t>
  </si>
  <si>
    <t>BUG-15</t>
  </si>
  <si>
    <t>BUG-16</t>
  </si>
  <si>
    <t>BUG-17</t>
  </si>
  <si>
    <t>PLAN DE PRUEBAS ElPapelillo App</t>
  </si>
  <si>
    <t>Antonio Jesús Díaz Plaza</t>
  </si>
  <si>
    <t>Este proyecto es una Plataforma de Gestión Integral para Concursos de Agrupaciones (diseñada con un backend en Spring Boot y un frontend SPA en Angular). Su objetivo principal es digitalizar y centralizar todas las tareas administrativas y de comunicación que rodean a la organización de un certamen cultural o de agrupaciones (como murgas, romanceros o drags).</t>
  </si>
  <si>
    <t>Login con usuario (administrador) y contraseña válida.</t>
  </si>
  <si>
    <t xml:space="preserve">Login de  administrador </t>
  </si>
  <si>
    <t>Login de representante</t>
  </si>
  <si>
    <t>TC-2</t>
  </si>
  <si>
    <t>Login con usuario (representante) y contraseña válida.</t>
  </si>
  <si>
    <r>
      <t>El usuario accede a la app ElPapelillo. 
Introduce un</t>
    </r>
    <r>
      <rPr>
        <b/>
        <sz val="10"/>
        <color rgb="FF434343"/>
        <rFont val="Roboto"/>
      </rPr>
      <t xml:space="preserve"> usuario</t>
    </r>
    <r>
      <rPr>
        <sz val="10"/>
        <color rgb="FF434343"/>
        <rFont val="Roboto"/>
      </rPr>
      <t xml:space="preserve"> válido </t>
    </r>
    <r>
      <rPr>
        <b/>
        <sz val="10"/>
        <color rgb="FF434343"/>
        <rFont val="Roboto"/>
      </rPr>
      <t>administrador</t>
    </r>
    <r>
      <rPr>
        <sz val="10"/>
        <color rgb="FF434343"/>
        <rFont val="Roboto"/>
      </rPr>
      <t xml:space="preserve"> (</t>
    </r>
    <r>
      <rPr>
        <b/>
        <sz val="10"/>
        <color rgb="FF434343"/>
        <rFont val="Roboto"/>
      </rPr>
      <t>pepe@gmail.com</t>
    </r>
    <r>
      <rPr>
        <sz val="10"/>
        <color rgb="FF434343"/>
        <rFont val="Roboto"/>
      </rPr>
      <t xml:space="preserve">). 
Introduce una contraseña </t>
    </r>
    <r>
      <rPr>
        <b/>
        <sz val="10"/>
        <color rgb="FF434343"/>
        <rFont val="Roboto"/>
      </rPr>
      <t>válida</t>
    </r>
    <r>
      <rPr>
        <sz val="10"/>
        <color rgb="FF434343"/>
        <rFont val="Roboto"/>
      </rPr>
      <t>. 
El usuario</t>
    </r>
    <r>
      <rPr>
        <b/>
        <sz val="10"/>
        <color rgb="FF434343"/>
        <rFont val="Roboto"/>
      </rPr>
      <t xml:space="preserve"> accede </t>
    </r>
    <r>
      <rPr>
        <sz val="10"/>
        <color rgb="FF434343"/>
        <rFont val="Roboto"/>
      </rPr>
      <t xml:space="preserve">satisfactoriamente </t>
    </r>
    <r>
      <rPr>
        <b/>
        <i/>
        <sz val="10"/>
        <color rgb="FF434343"/>
        <rFont val="Roboto"/>
      </rPr>
      <t>al panel de control del administrador</t>
    </r>
    <r>
      <rPr>
        <sz val="10"/>
        <color rgb="FF434343"/>
        <rFont val="Roboto"/>
      </rPr>
      <t>.</t>
    </r>
  </si>
  <si>
    <r>
      <t>El usuario accede a la app ElPapelillo. 
Introduce un usuario válido administrador (</t>
    </r>
    <r>
      <rPr>
        <b/>
        <sz val="10"/>
        <color rgb="FF434343"/>
        <rFont val="Roboto"/>
      </rPr>
      <t>antoniojesusdiazplaza@gmail.com</t>
    </r>
    <r>
      <rPr>
        <sz val="10"/>
        <color rgb="FF434343"/>
        <rFont val="Roboto"/>
      </rPr>
      <t xml:space="preserve">). 
Introduce una contraseña </t>
    </r>
    <r>
      <rPr>
        <b/>
        <sz val="10"/>
        <color rgb="FF434343"/>
        <rFont val="Roboto"/>
      </rPr>
      <t>válida</t>
    </r>
    <r>
      <rPr>
        <sz val="10"/>
        <color rgb="FF434343"/>
        <rFont val="Roboto"/>
      </rPr>
      <t xml:space="preserve">. 
El usuario </t>
    </r>
    <r>
      <rPr>
        <b/>
        <sz val="10"/>
        <color rgb="FF434343"/>
        <rFont val="Roboto"/>
      </rPr>
      <t>accede</t>
    </r>
    <r>
      <rPr>
        <sz val="10"/>
        <color rgb="FF434343"/>
        <rFont val="Roboto"/>
      </rPr>
      <t xml:space="preserve"> satisfactoriamente al</t>
    </r>
    <r>
      <rPr>
        <b/>
        <sz val="10"/>
        <color rgb="FF434343"/>
        <rFont val="Roboto"/>
      </rPr>
      <t xml:space="preserve"> panel de agrupaciones del representante</t>
    </r>
    <r>
      <rPr>
        <sz val="10"/>
        <color rgb="FF434343"/>
        <rFont val="Roboto"/>
      </rPr>
      <t>.</t>
    </r>
  </si>
  <si>
    <t>Login credenciales inválidas</t>
  </si>
  <si>
    <t>TC-3</t>
  </si>
  <si>
    <t>Login de usuario con contraseña inválida.</t>
  </si>
  <si>
    <r>
      <t>El usuario accede a la app ElPapelillo. 
Introduce un</t>
    </r>
    <r>
      <rPr>
        <b/>
        <sz val="10"/>
        <color rgb="FF434343"/>
        <rFont val="Roboto"/>
      </rPr>
      <t xml:space="preserve"> usuario válido</t>
    </r>
    <r>
      <rPr>
        <sz val="10"/>
        <color rgb="FF434343"/>
        <rFont val="Roboto"/>
      </rPr>
      <t xml:space="preserve">  (antoniojesusdiazplaza@gmail.com). 
Introduce una </t>
    </r>
    <r>
      <rPr>
        <b/>
        <sz val="10"/>
        <color rgb="FF434343"/>
        <rFont val="Roboto"/>
      </rPr>
      <t>contraseña inválida</t>
    </r>
    <r>
      <rPr>
        <sz val="10"/>
        <color rgb="FF434343"/>
        <rFont val="Roboto"/>
      </rPr>
      <t xml:space="preserve">. 
</t>
    </r>
    <r>
      <rPr>
        <b/>
        <sz val="10"/>
        <color rgb="FF434343"/>
        <rFont val="Roboto"/>
      </rPr>
      <t>La web muestra</t>
    </r>
    <r>
      <rPr>
        <sz val="10"/>
        <color rgb="FF434343"/>
        <rFont val="Roboto"/>
      </rPr>
      <t xml:space="preserve"> un mensaje de "</t>
    </r>
    <r>
      <rPr>
        <b/>
        <i/>
        <sz val="10"/>
        <color rgb="FF434343"/>
        <rFont val="Roboto"/>
      </rPr>
      <t>contraseña o email incorrectos</t>
    </r>
    <r>
      <rPr>
        <sz val="10"/>
        <color rgb="FF434343"/>
        <rFont val="Roboto"/>
      </rPr>
      <t>".</t>
    </r>
  </si>
  <si>
    <t>TC-4</t>
  </si>
  <si>
    <t>Inscripción nueva agrupación de canto</t>
  </si>
  <si>
    <t>Representante inscribe nueva agrupación de canto en concurso</t>
  </si>
  <si>
    <t>TC-5</t>
  </si>
  <si>
    <t>Representante inscribe agrupación existente en un concurso en el que existe una agrupación con el mismo nombre</t>
  </si>
  <si>
    <r>
      <t>Representante</t>
    </r>
    <r>
      <rPr>
        <b/>
        <sz val="10"/>
        <color rgb="FF434343"/>
        <rFont val="Roboto"/>
      </rPr>
      <t xml:space="preserve"> accede</t>
    </r>
    <r>
      <rPr>
        <sz val="10"/>
        <color rgb="FF434343"/>
        <rFont val="Roboto"/>
      </rPr>
      <t xml:space="preserve"> a su </t>
    </r>
    <r>
      <rPr>
        <b/>
        <sz val="10"/>
        <color rgb="FF434343"/>
        <rFont val="Roboto"/>
      </rPr>
      <t>panel de gestión de agrupaciones</t>
    </r>
    <r>
      <rPr>
        <sz val="10"/>
        <color rgb="FF434343"/>
        <rFont val="Roboto"/>
      </rPr>
      <t>.
Pulsa el botón "</t>
    </r>
    <r>
      <rPr>
        <b/>
        <i/>
        <sz val="10"/>
        <color rgb="FF434343"/>
        <rFont val="Roboto"/>
      </rPr>
      <t>inscribir agrupación</t>
    </r>
    <r>
      <rPr>
        <sz val="10"/>
        <color rgb="FF434343"/>
        <rFont val="Roboto"/>
      </rPr>
      <t>".
Selecciona "</t>
    </r>
    <r>
      <rPr>
        <b/>
        <sz val="10"/>
        <color rgb="FF434343"/>
        <rFont val="Roboto"/>
      </rPr>
      <t>crear nueva agrupación</t>
    </r>
    <r>
      <rPr>
        <sz val="10"/>
        <color rgb="FF434343"/>
        <rFont val="Roboto"/>
      </rPr>
      <t xml:space="preserve">" e introduce un </t>
    </r>
    <r>
      <rPr>
        <b/>
        <sz val="10"/>
        <color rgb="FF434343"/>
        <rFont val="Roboto"/>
      </rPr>
      <t>nombre</t>
    </r>
    <r>
      <rPr>
        <sz val="10"/>
        <color rgb="FF434343"/>
        <rFont val="Roboto"/>
      </rPr>
      <t xml:space="preserve"> de agrupación (Quiero hacer una comparsa) </t>
    </r>
    <r>
      <rPr>
        <b/>
        <sz val="10"/>
        <color rgb="FF434343"/>
        <rFont val="Roboto"/>
      </rPr>
      <t>no existente en ese concurso</t>
    </r>
    <r>
      <rPr>
        <sz val="10"/>
        <color rgb="FF434343"/>
        <rFont val="Roboto"/>
      </rPr>
      <t xml:space="preserve"> y  todos los datos requeridos y selecciona un concurso (</t>
    </r>
    <r>
      <rPr>
        <i/>
        <sz val="10"/>
        <color rgb="FF434343"/>
        <rFont val="Roboto"/>
      </rPr>
      <t>COAC Málaga 2026)</t>
    </r>
    <r>
      <rPr>
        <sz val="10"/>
        <color rgb="FF434343"/>
        <rFont val="Roboto"/>
      </rPr>
      <t xml:space="preserve">.
</t>
    </r>
    <r>
      <rPr>
        <b/>
        <sz val="10"/>
        <color rgb="FF434343"/>
        <rFont val="Roboto"/>
      </rPr>
      <t>La agrupación se inscribe correctamente</t>
    </r>
    <r>
      <rPr>
        <sz val="10"/>
        <color rgb="FF434343"/>
        <rFont val="Roboto"/>
      </rPr>
      <t xml:space="preserve"> y se guardan sus datos en las diferentes tablas de la base de datos.</t>
    </r>
  </si>
  <si>
    <r>
      <t xml:space="preserve">Representante </t>
    </r>
    <r>
      <rPr>
        <b/>
        <sz val="10"/>
        <color rgb="FF434343"/>
        <rFont val="Roboto"/>
      </rPr>
      <t>accede</t>
    </r>
    <r>
      <rPr>
        <sz val="10"/>
        <color rgb="FF434343"/>
        <rFont val="Roboto"/>
      </rPr>
      <t xml:space="preserve"> a su </t>
    </r>
    <r>
      <rPr>
        <b/>
        <sz val="10"/>
        <color rgb="FF434343"/>
        <rFont val="Roboto"/>
      </rPr>
      <t>panel de gestión de agrupaciones</t>
    </r>
    <r>
      <rPr>
        <sz val="10"/>
        <color rgb="FF434343"/>
        <rFont val="Roboto"/>
      </rPr>
      <t>.
Pulsa el botón "inscribir agrupación".
Marca "</t>
    </r>
    <r>
      <rPr>
        <b/>
        <sz val="10"/>
        <color rgb="FF434343"/>
        <rFont val="Roboto"/>
      </rPr>
      <t>agrupación existente</t>
    </r>
    <r>
      <rPr>
        <sz val="10"/>
        <color rgb="FF434343"/>
        <rFont val="Roboto"/>
      </rPr>
      <t>" y selecciona la agrupaciçon (Quiero hacer una comparsa) y el concurso (</t>
    </r>
    <r>
      <rPr>
        <i/>
        <sz val="10"/>
        <color rgb="FF434343"/>
        <rFont val="Roboto"/>
      </rPr>
      <t>COAC Málaga 2026)</t>
    </r>
    <r>
      <rPr>
        <sz val="10"/>
        <color rgb="FF434343"/>
        <rFont val="Roboto"/>
      </rPr>
      <t xml:space="preserve">
La web muestra un mensaje de que </t>
    </r>
    <r>
      <rPr>
        <b/>
        <sz val="10"/>
        <color rgb="FF434343"/>
        <rFont val="Roboto"/>
      </rPr>
      <t>esa agrupacion ya se encuentra inscrita en ese concurso</t>
    </r>
    <r>
      <rPr>
        <sz val="10"/>
        <color rgb="FF434343"/>
        <rFont val="Roboto"/>
      </rPr>
      <t>.</t>
    </r>
  </si>
  <si>
    <t xml:space="preserve">Inscripción reutilizando agrupación existente de agrupación de canto repetida </t>
  </si>
  <si>
    <t>Inscripción nueva agrupación de Drag</t>
  </si>
  <si>
    <t>TC-6</t>
  </si>
  <si>
    <t>Representante inscribe nueva agrupación Drag en un concurso</t>
  </si>
  <si>
    <r>
      <t xml:space="preserve">Representante </t>
    </r>
    <r>
      <rPr>
        <b/>
        <sz val="10"/>
        <color rgb="FF000000"/>
        <rFont val="Arial"/>
        <family val="2"/>
        <scheme val="minor"/>
      </rPr>
      <t>accede</t>
    </r>
    <r>
      <rPr>
        <sz val="10"/>
        <color rgb="FF000000"/>
        <rFont val="Arial"/>
        <scheme val="minor"/>
      </rPr>
      <t xml:space="preserve"> a su </t>
    </r>
    <r>
      <rPr>
        <b/>
        <sz val="10"/>
        <color rgb="FF000000"/>
        <rFont val="Arial"/>
        <family val="2"/>
        <scheme val="minor"/>
      </rPr>
      <t>panel de gestión de agrupaciones</t>
    </r>
    <r>
      <rPr>
        <sz val="10"/>
        <color rgb="FF000000"/>
        <rFont val="Arial"/>
        <scheme val="minor"/>
      </rPr>
      <t>.
Pulsa el botón "</t>
    </r>
    <r>
      <rPr>
        <b/>
        <sz val="10"/>
        <color rgb="FF000000"/>
        <rFont val="Arial"/>
        <family val="2"/>
        <scheme val="minor"/>
      </rPr>
      <t>inscribir agrupación</t>
    </r>
    <r>
      <rPr>
        <sz val="10"/>
        <color rgb="FF000000"/>
        <rFont val="Arial"/>
        <scheme val="minor"/>
      </rPr>
      <t>".
Selecciona "crear nueva agrupación" e introduce un nombre de agrupación (</t>
    </r>
    <r>
      <rPr>
        <i/>
        <sz val="10"/>
        <color rgb="FF000000"/>
        <rFont val="Arial"/>
        <family val="2"/>
        <scheme val="minor"/>
      </rPr>
      <t>Purpurina voladora</t>
    </r>
    <r>
      <rPr>
        <sz val="10"/>
        <color rgb="FF000000"/>
        <rFont val="Arial"/>
        <scheme val="minor"/>
      </rPr>
      <t>) no existente en ese concurso drag y  todos los datos requeridos y selecciona un concurso (</t>
    </r>
    <r>
      <rPr>
        <i/>
        <sz val="10"/>
        <color rgb="FF000000"/>
        <rFont val="Arial"/>
        <family val="2"/>
        <scheme val="minor"/>
      </rPr>
      <t>Gala Drag Málaga 2026</t>
    </r>
    <r>
      <rPr>
        <sz val="10"/>
        <color rgb="FF000000"/>
        <rFont val="Arial"/>
        <scheme val="minor"/>
      </rPr>
      <t>).
La agrupación se inscribe correctamente y se guardan sus datos en las diferentes tablas de la base de datos.</t>
    </r>
  </si>
  <si>
    <t>Subida de  documento a agrupación</t>
  </si>
  <si>
    <t>TC-7</t>
  </si>
  <si>
    <t>Representante sube documento a agrupación inscrita en un concurso</t>
  </si>
  <si>
    <t>Adjunta el archivo requerido y completa los datos necesarios asociados al documento.
Confirma la acción de subida.
El documento se carga correctamente y queda vinculado a la agrupación inscrita, almacenándose en las tablas correspondientes de la base de datos.</t>
  </si>
  <si>
    <t>Subida de documento de más de 5 MB</t>
  </si>
  <si>
    <t>TC-8</t>
  </si>
  <si>
    <t>Representante adjunta documento de más de 5MB a agrupación</t>
  </si>
  <si>
    <r>
      <t xml:space="preserve">Selecciona la opción de “subir documento”.
</t>
    </r>
    <r>
      <rPr>
        <b/>
        <sz val="10"/>
        <color rgb="FF434343"/>
        <rFont val="Roboto"/>
      </rPr>
      <t>Adjunta</t>
    </r>
    <r>
      <rPr>
        <sz val="10"/>
        <color rgb="FF434343"/>
        <rFont val="Roboto"/>
      </rPr>
      <t xml:space="preserve"> un </t>
    </r>
    <r>
      <rPr>
        <b/>
        <sz val="10"/>
        <color rgb="FF434343"/>
        <rFont val="Roboto"/>
      </rPr>
      <t>archivo</t>
    </r>
    <r>
      <rPr>
        <sz val="10"/>
        <color rgb="FF434343"/>
        <rFont val="Roboto"/>
      </rPr>
      <t xml:space="preserve"> cuyo tamaño supera el límite permitido (</t>
    </r>
    <r>
      <rPr>
        <b/>
        <sz val="10"/>
        <color rgb="FF434343"/>
        <rFont val="Roboto"/>
      </rPr>
      <t>más de 5MB</t>
    </r>
    <r>
      <rPr>
        <sz val="10"/>
        <color rgb="FF434343"/>
        <rFont val="Roboto"/>
      </rPr>
      <t xml:space="preserve">).
Confirma la acción de subida.
El sistema muestra un mensaje de error indicando que el archivo excede el tamaño máximo permitido.
El </t>
    </r>
    <r>
      <rPr>
        <b/>
        <sz val="10"/>
        <color rgb="FF434343"/>
        <rFont val="Roboto"/>
      </rPr>
      <t>documento no se carga</t>
    </r>
    <r>
      <rPr>
        <sz val="10"/>
        <color rgb="FF434343"/>
        <rFont val="Roboto"/>
      </rPr>
      <t xml:space="preserve"> y no se realiza ningún registro en la base de datos.</t>
    </r>
  </si>
  <si>
    <t>TC-9</t>
  </si>
  <si>
    <t>Administrador  rechaza documento de agrupación y le adjunta un mensaje de información</t>
  </si>
  <si>
    <t>Rechazo de documento de agrupación por administrador</t>
  </si>
  <si>
    <t>Aprobación de documento de agrupación por administrador</t>
  </si>
  <si>
    <t>Administrador  aprueba documento de agrupación y le adjunta un mensaje de información</t>
  </si>
  <si>
    <t>TC-10</t>
  </si>
  <si>
    <r>
      <t xml:space="preserve">Administrador accede a la página de detalle de una agrupación. 
Selecciona la agrupación inscrita en el concurso y revisa el documento subido por el representante.
Valida el documento marcándolo como </t>
    </r>
    <r>
      <rPr>
        <b/>
        <sz val="10"/>
        <color rgb="FF434343"/>
        <rFont val="Roboto"/>
      </rPr>
      <t>APROBADO.</t>
    </r>
    <r>
      <rPr>
        <sz val="10"/>
        <color rgb="FF434343"/>
        <rFont val="Roboto"/>
      </rPr>
      <t xml:space="preserve">
El sistema actualiza el estado del documento correctamente en la base de datos.
El representante accede a su panel de documentación de ese agrupación y visualiza la etiqueta de aprobación en su interfaz.</t>
    </r>
  </si>
  <si>
    <t>TC-11</t>
  </si>
  <si>
    <t>Administrador aprueba la inscripción de una agrupación</t>
  </si>
  <si>
    <t>TC-12</t>
  </si>
  <si>
    <r>
      <t>Administrador accede a la</t>
    </r>
    <r>
      <rPr>
        <b/>
        <sz val="10"/>
        <color rgb="FF434343"/>
        <rFont val="Roboto"/>
      </rPr>
      <t xml:space="preserve"> página de detalle de una agrupación</t>
    </r>
    <r>
      <rPr>
        <sz val="10"/>
        <color rgb="FF434343"/>
        <rFont val="Roboto"/>
      </rPr>
      <t>. 
Selecciona la agrupación inscrita en el concurso y revisa el documento subido por el representante.
Valida el documento (</t>
    </r>
    <r>
      <rPr>
        <i/>
        <sz val="10"/>
        <color rgb="FF434343"/>
        <rFont val="Roboto"/>
      </rPr>
      <t>DNI autores</t>
    </r>
    <r>
      <rPr>
        <sz val="10"/>
        <color rgb="FF434343"/>
        <rFont val="Roboto"/>
      </rPr>
      <t>) marcándolo como</t>
    </r>
    <r>
      <rPr>
        <b/>
        <sz val="10"/>
        <color rgb="FF434343"/>
        <rFont val="Roboto"/>
      </rPr>
      <t xml:space="preserve"> rechazado</t>
    </r>
    <r>
      <rPr>
        <sz val="10"/>
        <color rgb="FF434343"/>
        <rFont val="Roboto"/>
      </rPr>
      <t xml:space="preserve"> escribiendo un mensaje informativo.
El sistema actualiza el estado del documento correctamente en la base de datos.
El representante accede a su panel de documenta y </t>
    </r>
    <r>
      <rPr>
        <b/>
        <sz val="10"/>
        <color rgb="FF434343"/>
        <rFont val="Roboto"/>
      </rPr>
      <t>visualiza la etiqueta de rechazo</t>
    </r>
    <r>
      <rPr>
        <sz val="10"/>
        <color rgb="FF434343"/>
        <rFont val="Roboto"/>
      </rPr>
      <t xml:space="preserve"> en su interfaz</t>
    </r>
    <r>
      <rPr>
        <b/>
        <sz val="10"/>
        <color rgb="FF434343"/>
        <rFont val="Roboto"/>
      </rPr>
      <t xml:space="preserve"> junto al mensaje informativo</t>
    </r>
    <r>
      <rPr>
        <sz val="10"/>
        <color rgb="FF434343"/>
        <rFont val="Roboto"/>
      </rPr>
      <t>.</t>
    </r>
  </si>
  <si>
    <t>Aprobar inscripción  agrupación en concurso activo</t>
  </si>
  <si>
    <r>
      <t xml:space="preserve">Administrador accede a la </t>
    </r>
    <r>
      <rPr>
        <b/>
        <sz val="10"/>
        <color rgb="FF000000"/>
        <rFont val="Arial"/>
        <family val="2"/>
        <scheme val="minor"/>
      </rPr>
      <t>página de detalle de una agrupación</t>
    </r>
    <r>
      <rPr>
        <sz val="10"/>
        <color rgb="FF000000"/>
        <rFont val="Arial"/>
        <family val="2"/>
        <scheme val="minor"/>
      </rPr>
      <t xml:space="preserve"> de un </t>
    </r>
    <r>
      <rPr>
        <u/>
        <sz val="10"/>
        <color rgb="FF000000"/>
        <rFont val="Arial"/>
        <family val="2"/>
        <scheme val="minor"/>
      </rPr>
      <t>concurso activo</t>
    </r>
    <r>
      <rPr>
        <sz val="10"/>
        <color rgb="FF000000"/>
        <rFont val="Arial"/>
        <family val="2"/>
        <scheme val="minor"/>
      </rPr>
      <t>.
Pincha en el botón "aprobar inscripción".
La inscripción cambia su estado a “</t>
    </r>
    <r>
      <rPr>
        <b/>
        <sz val="10"/>
        <color rgb="FF000000"/>
        <rFont val="Arial"/>
        <family val="2"/>
        <scheme val="minor"/>
      </rPr>
      <t>aprobada</t>
    </r>
    <r>
      <rPr>
        <sz val="10"/>
        <color rgb="FF000000"/>
        <rFont val="Arial"/>
        <family val="2"/>
        <scheme val="minor"/>
      </rPr>
      <t xml:space="preserve">” y se actualiza correctamente en la base de datos.
La agrupación queda oficialmente inscrita en el concurso y este estado es visible tanto para el administrador como para el representante en sus respectivos paneles.
</t>
    </r>
  </si>
  <si>
    <t>Descarga de listado de participantes de una agrupación</t>
  </si>
  <si>
    <t xml:space="preserve">Administrador descarga la lista de participantes de  una agrupación </t>
  </si>
  <si>
    <r>
      <t xml:space="preserve">Administrador accede a la </t>
    </r>
    <r>
      <rPr>
        <b/>
        <sz val="10"/>
        <color rgb="FF434343"/>
        <rFont val="Roboto"/>
      </rPr>
      <t>página de detalle de una agrupación (El poeta majareta de La Malagueta)</t>
    </r>
    <r>
      <rPr>
        <sz val="10"/>
        <color rgb="FF434343"/>
        <rFont val="Roboto"/>
      </rPr>
      <t>.
Pincha el botón de "descargar listado PDF".
Se</t>
    </r>
    <r>
      <rPr>
        <b/>
        <i/>
        <sz val="10"/>
        <color rgb="FF434343"/>
        <rFont val="Roboto"/>
      </rPr>
      <t xml:space="preserve"> imprime dinámicamente un pdf con los participantes</t>
    </r>
    <r>
      <rPr>
        <sz val="10"/>
        <color rgb="FF434343"/>
        <rFont val="Roboto"/>
      </rPr>
      <t xml:space="preserve"> vinculados a la agrupación y se </t>
    </r>
    <r>
      <rPr>
        <b/>
        <sz val="10"/>
        <color rgb="FF434343"/>
        <rFont val="Roboto"/>
      </rPr>
      <t>descarga en el dispositivo</t>
    </r>
    <r>
      <rPr>
        <sz val="10"/>
        <color rgb="FF434343"/>
        <rFont val="Roboto"/>
      </rPr>
      <t>.</t>
    </r>
  </si>
  <si>
    <t>Administrador adjunta fianza a agrupación de concurso activo</t>
  </si>
  <si>
    <t>TC-13</t>
  </si>
  <si>
    <t>Admininistrador sube la fianza de pago de una agrupación</t>
  </si>
  <si>
    <t>TC-14</t>
  </si>
  <si>
    <t>Eliminar fianza adjuntada de agrupación</t>
  </si>
  <si>
    <r>
      <t xml:space="preserve">Administrador accede a la </t>
    </r>
    <r>
      <rPr>
        <b/>
        <sz val="10"/>
        <color rgb="FF434343"/>
        <rFont val="Roboto"/>
      </rPr>
      <t>página de detalle de una agrupación</t>
    </r>
    <r>
      <rPr>
        <sz val="10"/>
        <color rgb="FF434343"/>
        <rFont val="Roboto"/>
      </rPr>
      <t xml:space="preserve"> de un </t>
    </r>
    <r>
      <rPr>
        <i/>
        <u/>
        <sz val="10"/>
        <color rgb="FF434343"/>
        <rFont val="Roboto"/>
      </rPr>
      <t>concurso activo</t>
    </r>
    <r>
      <rPr>
        <sz val="10"/>
        <color rgb="FF434343"/>
        <rFont val="Roboto"/>
      </rPr>
      <t>.
Pincha en el botón "adjuntar fianza".
El pdf de recibo de la fianza se sube correctamente y se muestra en la interfaz de documentación de la agrupación del representante.</t>
    </r>
  </si>
  <si>
    <t>Administrador elimina la fianza de una agrupación</t>
  </si>
  <si>
    <r>
      <t xml:space="preserve">Administrador accede a la </t>
    </r>
    <r>
      <rPr>
        <b/>
        <sz val="10"/>
        <color rgb="FF434343"/>
        <rFont val="Roboto"/>
      </rPr>
      <t>página de detalle de una agrupación</t>
    </r>
    <r>
      <rPr>
        <sz val="10"/>
        <color rgb="FF434343"/>
        <rFont val="Roboto"/>
      </rPr>
      <t xml:space="preserve"> de un </t>
    </r>
    <r>
      <rPr>
        <b/>
        <i/>
        <sz val="10"/>
        <color rgb="FF434343"/>
        <rFont val="Roboto"/>
      </rPr>
      <t>concurso activo</t>
    </r>
    <r>
      <rPr>
        <sz val="10"/>
        <color rgb="FF434343"/>
        <rFont val="Roboto"/>
      </rPr>
      <t>.
Pincha en el botón "</t>
    </r>
    <r>
      <rPr>
        <b/>
        <sz val="10"/>
        <color rgb="FF434343"/>
        <rFont val="Roboto"/>
      </rPr>
      <t>Borrar fianza</t>
    </r>
    <r>
      <rPr>
        <sz val="10"/>
        <color rgb="FF434343"/>
        <rFont val="Roboto"/>
      </rPr>
      <t>".
El pdf de recibo de la fianza se desaparece de la página y se eliminar de forma persistente en la base de datos.</t>
    </r>
  </si>
  <si>
    <t>Inscribir agrupación existente de un tipo en un concurso de un tipo diferente</t>
  </si>
  <si>
    <t>TC-15</t>
  </si>
  <si>
    <r>
      <t>Representante accede a la</t>
    </r>
    <r>
      <rPr>
        <b/>
        <sz val="10"/>
        <color rgb="FF434343"/>
        <rFont val="Roboto"/>
      </rPr>
      <t xml:space="preserve"> página de gestión de agrupaciones</t>
    </r>
    <r>
      <rPr>
        <sz val="10"/>
        <color rgb="FF434343"/>
        <rFont val="Roboto"/>
      </rPr>
      <t xml:space="preserve">.
Pincha en escribir agrupación existente.
Selecciona el concurso de </t>
    </r>
    <r>
      <rPr>
        <b/>
        <sz val="10"/>
        <color rgb="FF434343"/>
        <rFont val="Roboto"/>
      </rPr>
      <t>tipo Drag</t>
    </r>
    <r>
      <rPr>
        <sz val="10"/>
        <color rgb="FF434343"/>
        <rFont val="Roboto"/>
      </rPr>
      <t xml:space="preserve"> (</t>
    </r>
    <r>
      <rPr>
        <i/>
        <sz val="10"/>
        <color rgb="FF434343"/>
        <rFont val="Roboto"/>
      </rPr>
      <t>Gala Drag Málaga 2025</t>
    </r>
    <r>
      <rPr>
        <sz val="10"/>
        <color rgb="FF434343"/>
        <rFont val="Roboto"/>
      </rPr>
      <t xml:space="preserve">).
Abre el desplegable de agrupaciones y se </t>
    </r>
    <r>
      <rPr>
        <b/>
        <sz val="10"/>
        <color rgb="FF434343"/>
        <rFont val="Roboto"/>
      </rPr>
      <t>filtran</t>
    </r>
    <r>
      <rPr>
        <sz val="10"/>
        <color rgb="FF434343"/>
        <rFont val="Roboto"/>
      </rPr>
      <t xml:space="preserve"> automáticamente las existentes, mostrando solo las de</t>
    </r>
    <r>
      <rPr>
        <b/>
        <i/>
        <sz val="10"/>
        <color rgb="FF434343"/>
        <rFont val="Roboto"/>
      </rPr>
      <t xml:space="preserve"> tipo Drag</t>
    </r>
    <r>
      <rPr>
        <sz val="10"/>
        <color rgb="FF434343"/>
        <rFont val="Roboto"/>
      </rPr>
      <t xml:space="preserve">. </t>
    </r>
  </si>
  <si>
    <t>Inserción participante repetido en agrupación</t>
  </si>
  <si>
    <t>TC-16</t>
  </si>
  <si>
    <t>Representante añade participante ya existente en esa agrupación</t>
  </si>
  <si>
    <r>
      <t xml:space="preserve">El representane accede al apartado de </t>
    </r>
    <r>
      <rPr>
        <b/>
        <i/>
        <sz val="10"/>
        <color rgb="FF434343"/>
        <rFont val="Roboto"/>
      </rPr>
      <t>gestión de participantes de una agrupación</t>
    </r>
    <r>
      <rPr>
        <sz val="10"/>
        <color rgb="FF434343"/>
        <rFont val="Roboto"/>
      </rPr>
      <t>.
Introduce los datos de un</t>
    </r>
    <r>
      <rPr>
        <b/>
        <sz val="10"/>
        <color rgb="FF434343"/>
        <rFont val="Roboto"/>
      </rPr>
      <t xml:space="preserve"> usuario existente</t>
    </r>
    <r>
      <rPr>
        <sz val="10"/>
        <color rgb="FF434343"/>
        <rFont val="Roboto"/>
      </rPr>
      <t xml:space="preserve"> en </t>
    </r>
    <r>
      <rPr>
        <b/>
        <i/>
        <sz val="10"/>
        <color rgb="FF434343"/>
        <rFont val="Roboto"/>
      </rPr>
      <t>esa agrupación</t>
    </r>
    <r>
      <rPr>
        <sz val="10"/>
        <color rgb="FF434343"/>
        <rFont val="Roboto"/>
      </rPr>
      <t xml:space="preserve">.
Muestra </t>
    </r>
    <r>
      <rPr>
        <i/>
        <u/>
        <sz val="10"/>
        <color rgb="FF434343"/>
        <rFont val="Roboto"/>
      </rPr>
      <t>mensaje de error</t>
    </r>
    <r>
      <rPr>
        <sz val="10"/>
        <color rgb="FF434343"/>
        <rFont val="Roboto"/>
      </rPr>
      <t xml:space="preserve"> indicando que ya se encuentra un usuario igual en esa agrupación.</t>
    </r>
  </si>
  <si>
    <t>TC-17</t>
  </si>
  <si>
    <t>Eliminar participante de agrupación en concurso en activo</t>
  </si>
  <si>
    <r>
      <t xml:space="preserve">Representante accede al </t>
    </r>
    <r>
      <rPr>
        <b/>
        <sz val="10"/>
        <color rgb="FF434343"/>
        <rFont val="Roboto"/>
      </rPr>
      <t>panel de gestión de participantes</t>
    </r>
    <r>
      <rPr>
        <sz val="10"/>
        <color rgb="FF434343"/>
        <rFont val="Roboto"/>
      </rPr>
      <t xml:space="preserve"> de una</t>
    </r>
    <r>
      <rPr>
        <i/>
        <sz val="10"/>
        <color rgb="FF434343"/>
        <rFont val="Roboto"/>
      </rPr>
      <t xml:space="preserve"> inscripción activa</t>
    </r>
    <r>
      <rPr>
        <sz val="10"/>
        <color rgb="FF434343"/>
        <rFont val="Roboto"/>
      </rPr>
      <t>.
Selecciona eliminar a participante.
Selecciona "</t>
    </r>
    <r>
      <rPr>
        <i/>
        <sz val="10"/>
        <color rgb="FF434343"/>
        <rFont val="Roboto"/>
      </rPr>
      <t>aceptar</t>
    </r>
    <r>
      <rPr>
        <sz val="10"/>
        <color rgb="FF434343"/>
        <rFont val="Roboto"/>
      </rPr>
      <t xml:space="preserve">" en la ventana de confirmación.
El </t>
    </r>
    <r>
      <rPr>
        <b/>
        <sz val="10"/>
        <color rgb="FF434343"/>
        <rFont val="Roboto"/>
      </rPr>
      <t>participante</t>
    </r>
    <r>
      <rPr>
        <sz val="10"/>
        <color rgb="FF434343"/>
        <rFont val="Roboto"/>
      </rPr>
      <t xml:space="preserve"> es eliminado de la inscripción, pero </t>
    </r>
    <r>
      <rPr>
        <b/>
        <u/>
        <sz val="10"/>
        <color rgb="FF434343"/>
        <rFont val="Roboto"/>
      </rPr>
      <t>persistiendo en el listado de participantes de la base de datos</t>
    </r>
    <r>
      <rPr>
        <b/>
        <sz val="10"/>
        <color rgb="FF434343"/>
        <rFont val="Roboto"/>
      </rPr>
      <t xml:space="preserve"> </t>
    </r>
    <r>
      <rPr>
        <sz val="10"/>
        <color rgb="FF434343"/>
        <rFont val="Roboto"/>
      </rPr>
      <t>para su posible inserción futura reutilizando.</t>
    </r>
  </si>
  <si>
    <t>Envío correo circular a todos los representantes de un concurso</t>
  </si>
  <si>
    <t>TC-18</t>
  </si>
  <si>
    <t>Administrador envía correo electrónico circular a todos los representates de un concurso</t>
  </si>
  <si>
    <r>
      <t>El administrador accede a la</t>
    </r>
    <r>
      <rPr>
        <b/>
        <sz val="10"/>
        <color rgb="FF434343"/>
        <rFont val="Roboto"/>
      </rPr>
      <t xml:space="preserve"> página de detalle de un concurso</t>
    </r>
    <r>
      <rPr>
        <sz val="10"/>
        <color rgb="FF434343"/>
        <rFont val="Roboto"/>
      </rPr>
      <t xml:space="preserve">.
</t>
    </r>
    <r>
      <rPr>
        <u/>
        <sz val="10"/>
        <color rgb="FF434343"/>
        <rFont val="Roboto"/>
      </rPr>
      <t>No selecciona ninguna agrupación</t>
    </r>
    <r>
      <rPr>
        <sz val="10"/>
        <color rgb="FF434343"/>
        <rFont val="Roboto"/>
      </rPr>
      <t xml:space="preserve"> en las checkbox.
Rellena los datos del correo y adjunta los archivos pertinentes.
Se muestra un </t>
    </r>
    <r>
      <rPr>
        <b/>
        <sz val="10"/>
        <color rgb="FF434343"/>
        <rFont val="Roboto"/>
      </rPr>
      <t>mensaje de confirmación</t>
    </r>
    <r>
      <rPr>
        <sz val="10"/>
        <color rgb="FF434343"/>
        <rFont val="Roboto"/>
      </rPr>
      <t xml:space="preserve"> y </t>
    </r>
    <r>
      <rPr>
        <b/>
        <sz val="10"/>
        <color rgb="FF434343"/>
        <rFont val="Roboto"/>
      </rPr>
      <t>el correo electrónico</t>
    </r>
    <r>
      <rPr>
        <sz val="10"/>
        <color rgb="FF434343"/>
        <rFont val="Roboto"/>
      </rPr>
      <t xml:space="preserve"> les </t>
    </r>
    <r>
      <rPr>
        <b/>
        <u/>
        <sz val="10"/>
        <color rgb="FF434343"/>
        <rFont val="Roboto"/>
      </rPr>
      <t>llega a cada uno de los representantes cuyas agrupaciones están inscritas en ese concurso</t>
    </r>
    <r>
      <rPr>
        <sz val="10"/>
        <color rgb="FF434343"/>
        <rFont val="Roboto"/>
      </rPr>
      <t>.</t>
    </r>
  </si>
  <si>
    <t>Creación nueva organización</t>
  </si>
  <si>
    <t>TC-19</t>
  </si>
  <si>
    <t>SYSADMIN crea nueva organización</t>
  </si>
  <si>
    <r>
      <t xml:space="preserve">SYSADMIN accede a su </t>
    </r>
    <r>
      <rPr>
        <b/>
        <sz val="10"/>
        <color rgb="FF434343"/>
        <rFont val="Roboto"/>
      </rPr>
      <t>panel de control de administrador</t>
    </r>
    <r>
      <rPr>
        <sz val="10"/>
        <color rgb="FF434343"/>
        <rFont val="Roboto"/>
      </rPr>
      <t>.
Abre el desplegable de gestión de organizaciones.
Pincha en registrar "</t>
    </r>
    <r>
      <rPr>
        <b/>
        <sz val="10"/>
        <color rgb="FF434343"/>
        <rFont val="Roboto"/>
      </rPr>
      <t>nueva organización</t>
    </r>
    <r>
      <rPr>
        <sz val="10"/>
        <color rgb="FF434343"/>
        <rFont val="Roboto"/>
      </rPr>
      <t>" y rellena los datos.
Pulsa guardar datos y la organización se a</t>
    </r>
    <r>
      <rPr>
        <b/>
        <sz val="10"/>
        <color rgb="FF434343"/>
        <rFont val="Roboto"/>
      </rPr>
      <t>lmacena</t>
    </r>
    <r>
      <rPr>
        <sz val="10"/>
        <color rgb="FF434343"/>
        <rFont val="Roboto"/>
      </rPr>
      <t xml:space="preserve"> de manera persistente </t>
    </r>
    <r>
      <rPr>
        <b/>
        <sz val="10"/>
        <color rgb="FF434343"/>
        <rFont val="Roboto"/>
      </rPr>
      <t>en la base de datos</t>
    </r>
    <r>
      <rPr>
        <sz val="10"/>
        <color rgb="FF434343"/>
        <rFont val="Roboto"/>
      </rPr>
      <t>.</t>
    </r>
  </si>
  <si>
    <t xml:space="preserve">Añadir nuevo participante ya existente en la base de datos </t>
  </si>
  <si>
    <t>Representante añade participante ya existente en esa agrupación en la inscripción de una agrupación.</t>
  </si>
  <si>
    <t>TC-20</t>
  </si>
  <si>
    <r>
      <t xml:space="preserve">Representante accede al panel de gestión de participantes de una inscripción activa.
Selecciona  añadir participante.
En el formulario introduce un </t>
    </r>
    <r>
      <rPr>
        <b/>
        <sz val="10"/>
        <color rgb="FF434343"/>
        <rFont val="Roboto"/>
      </rPr>
      <t>DNI ya existente</t>
    </r>
    <r>
      <rPr>
        <sz val="10"/>
        <color rgb="FF434343"/>
        <rFont val="Roboto"/>
      </rPr>
      <t xml:space="preserve"> en la base de datos (22447719H). 
El </t>
    </r>
    <r>
      <rPr>
        <b/>
        <sz val="10"/>
        <color rgb="FF434343"/>
        <rFont val="Roboto"/>
      </rPr>
      <t>programa debería indicarlo</t>
    </r>
    <r>
      <rPr>
        <sz val="10"/>
        <color rgb="FF434343"/>
        <rFont val="Roboto"/>
      </rPr>
      <t xml:space="preserve"> y mostrar el botón de importar datos, como cuando buscas un participante por DNI.
En su lugar </t>
    </r>
    <r>
      <rPr>
        <b/>
        <sz val="10"/>
        <color rgb="FF434343"/>
        <rFont val="Roboto"/>
      </rPr>
      <t>ha vuelto a insertar ese participante en la tabla participante</t>
    </r>
    <r>
      <rPr>
        <sz val="10"/>
        <color rgb="FF434343"/>
        <rFont val="Roboto"/>
      </rPr>
      <t xml:space="preserve">, estando duplicado el participante con DNI: 22447719H
</t>
    </r>
  </si>
  <si>
    <r>
      <rPr>
        <b/>
        <sz val="14"/>
        <color rgb="FF00B050"/>
        <rFont val="Arial"/>
        <family val="2"/>
        <scheme val="minor"/>
      </rPr>
      <t>Incidencia corregida.</t>
    </r>
    <r>
      <rPr>
        <sz val="10"/>
        <color rgb="FF000000"/>
        <rFont val="Arial"/>
        <family val="2"/>
        <scheme val="minor"/>
      </rPr>
      <t xml:space="preserve">
Ahora se importan los datos del participante existente en la base de datos correctamente.</t>
    </r>
  </si>
  <si>
    <t>Representante elimina a participante de inscripción en concurso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</si>
</sst>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 x14ac:knownFonts="1">
    <font>
      <sz val="10"/>
      <color rgb="FF000000"/>
      <name val="Arial"/>
      <scheme val="minor"/>
    </font>
    <font>
      <sz val="20"/>
      <color rgb="FFFFFFFF"/>
      <name val="Roboto"/>
    </font>
    <font>
      <sz val="12"/>
      <color rgb="FFC5CAE9"/>
      <name val="Roboto"/>
    </font>
    <font>
      <sz val="12"/>
      <color rgb="FFFFFFFF"/>
      <name val="Roboto Condensed"/>
    </font>
    <font>
      <sz val="10"/>
      <color theme="1"/>
      <name val="Arial"/>
    </font>
    <font>
      <u/>
      <sz val="12"/>
      <color rgb="FF0000FF"/>
      <name val="Roboto Condensed"/>
    </font>
    <font>
      <i/>
      <sz val="10"/>
      <color rgb="FF000000"/>
      <name val="Roboto Condensed"/>
    </font>
    <font>
      <b/>
      <sz val="10"/>
      <color rgb="FF303F9F"/>
      <name val="Roboto"/>
    </font>
    <font>
      <b/>
      <sz val="10"/>
      <color rgb="FF1CA8AB"/>
      <name val="Arial"/>
    </font>
    <font>
      <sz val="10"/>
      <color rgb="FF6772AD"/>
      <name val="Roboto"/>
    </font>
    <font>
      <i/>
      <sz val="10"/>
      <color rgb="FF6772AD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color theme="1"/>
      <name val="Roboto"/>
    </font>
    <font>
      <sz val="10"/>
      <color rgb="FF1CA8AB"/>
      <name val="Roboto"/>
    </font>
    <font>
      <b/>
      <sz val="10"/>
      <color rgb="FF1CA8AB"/>
      <name val="Roboto"/>
    </font>
    <font>
      <b/>
      <sz val="20"/>
      <color rgb="FF1CA8AB"/>
      <name val="Roboto"/>
    </font>
    <font>
      <sz val="10"/>
      <color rgb="FF2A3990"/>
      <name val="Roboto"/>
    </font>
    <font>
      <b/>
      <i/>
      <sz val="10"/>
      <color rgb="FF434343"/>
      <name val="Roboto"/>
    </font>
    <font>
      <i/>
      <sz val="10"/>
      <color rgb="FF434343"/>
      <name val="Roboto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i/>
      <u/>
      <sz val="10"/>
      <color rgb="FF434343"/>
      <name val="Roboto"/>
    </font>
    <font>
      <b/>
      <u/>
      <sz val="10"/>
      <color rgb="FF434343"/>
      <name val="Roboto"/>
    </font>
    <font>
      <u/>
      <sz val="10"/>
      <color rgb="FF434343"/>
      <name val="Roboto"/>
    </font>
    <font>
      <b/>
      <sz val="14"/>
      <color rgb="FF00B05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C5CAE9"/>
      </top>
      <bottom/>
      <diagonal/>
    </border>
    <border>
      <left/>
      <right/>
      <top/>
      <bottom style="thin">
        <color rgb="FFC5CAE9"/>
      </bottom>
      <diagonal/>
    </border>
    <border>
      <left/>
      <right/>
      <top/>
      <bottom style="thin">
        <color rgb="FF1CA8AB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2" fillId="3" borderId="0" xfId="0" applyFont="1" applyFill="1" applyAlignment="1">
      <alignment horizontal="left"/>
    </xf>
    <xf numFmtId="0" fontId="4" fillId="3" borderId="0" xfId="0" applyFont="1" applyFill="1"/>
    <xf numFmtId="0" fontId="1" fillId="3" borderId="0" xfId="0" applyFont="1" applyFill="1" applyAlignment="1">
      <alignment horizontal="left" vertical="top"/>
    </xf>
    <xf numFmtId="0" fontId="7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4" fillId="0" borderId="1" xfId="0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4" fillId="0" borderId="0" xfId="0" applyFont="1"/>
    <xf numFmtId="0" fontId="15" fillId="0" borderId="0" xfId="0" applyFont="1" applyAlignment="1">
      <alignment horizontal="left"/>
    </xf>
    <xf numFmtId="0" fontId="14" fillId="0" borderId="4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 applyFont="1" applyAlignment="1"/>
    <xf numFmtId="0" fontId="16" fillId="0" borderId="0" xfId="0" applyFont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0" fillId="4" borderId="0" xfId="0" applyFont="1" applyFill="1" applyAlignment="1"/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wrapText="1"/>
    </xf>
    <xf numFmtId="0" fontId="10" fillId="0" borderId="0" xfId="0" applyFont="1" applyAlignment="1">
      <alignment horizontal="left" vertical="center"/>
    </xf>
    <xf numFmtId="0" fontId="0" fillId="0" borderId="0" xfId="0" applyFont="1" applyAlignment="1"/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 wrapText="1"/>
    </xf>
    <xf numFmtId="0" fontId="6" fillId="3" borderId="0" xfId="0" applyFont="1" applyFill="1" applyAlignment="1">
      <alignment horizontal="left" wrapText="1"/>
    </xf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lan de Pruebas-style" pivot="0" count="2" xr9:uid="{00000000-0011-0000-FFFF-FFFF00000000}">
      <tableStyleElement type="firstRowStripe" dxfId="11"/>
      <tableStyleElement type="secondRowStripe" dxfId="1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CCCCCC"/>
              </a:solidFill>
            </c:spPr>
            <c:extLst>
              <c:ext xmlns:c16="http://schemas.microsoft.com/office/drawing/2014/chart" uri="{C3380CC4-5D6E-409C-BE32-E72D297353CC}">
                <c16:uniqueId val="{00000001-C8D7-4072-9079-F163B8E35BDC}"/>
              </c:ext>
            </c:extLst>
          </c:dPt>
          <c:dPt>
            <c:idx val="1"/>
            <c:bubble3D val="0"/>
            <c:spPr>
              <a:solidFill>
                <a:srgbClr val="38761D"/>
              </a:solidFill>
            </c:spPr>
            <c:extLst>
              <c:ext xmlns:c16="http://schemas.microsoft.com/office/drawing/2014/chart" uri="{C3380CC4-5D6E-409C-BE32-E72D297353CC}">
                <c16:uniqueId val="{00000003-C8D7-4072-9079-F163B8E35BDC}"/>
              </c:ext>
            </c:extLst>
          </c:dPt>
          <c:dPt>
            <c:idx val="2"/>
            <c:bubble3D val="0"/>
            <c:spPr>
              <a:solidFill>
                <a:srgbClr val="CC0000"/>
              </a:solidFill>
            </c:spPr>
            <c:extLst>
              <c:ext xmlns:c16="http://schemas.microsoft.com/office/drawing/2014/chart" uri="{C3380CC4-5D6E-409C-BE32-E72D297353CC}">
                <c16:uniqueId val="{00000005-C8D7-4072-9079-F163B8E35BDC}"/>
              </c:ext>
            </c:extLst>
          </c:dPt>
          <c:cat>
            <c:strRef>
              <c:f>'Plan de Pruebas'!$D$9:$D$11</c:f>
              <c:strCache>
                <c:ptCount val="3"/>
                <c:pt idx="0">
                  <c:v>Pending</c:v>
                </c:pt>
                <c:pt idx="1">
                  <c:v>Pass</c:v>
                </c:pt>
                <c:pt idx="2">
                  <c:v>Failed</c:v>
                </c:pt>
              </c:strCache>
            </c:strRef>
          </c:cat>
          <c:val>
            <c:numRef>
              <c:f>'Plan de Pruebas'!$E$9:$E$11</c:f>
              <c:numCache>
                <c:formatCode>General</c:formatCode>
                <c:ptCount val="3"/>
                <c:pt idx="0">
                  <c:v>7</c:v>
                </c:pt>
                <c:pt idx="1">
                  <c:v>19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D7-4072-9079-F163B8E35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l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390525</xdr:colOff>
      <xdr:row>5</xdr:row>
      <xdr:rowOff>104775</xdr:rowOff>
    </xdr:from>
    <xdr:ext cx="2990850" cy="1838325"/>
    <xdr:graphicFrame macro="">
      <xdr:nvGraphicFramePr>
        <xdr:cNvPr id="667503549" name="Chart 1" title="Gráfico">
          <a:extLst>
            <a:ext uri="{FF2B5EF4-FFF2-40B4-BE49-F238E27FC236}">
              <a16:creationId xmlns:a16="http://schemas.microsoft.com/office/drawing/2014/main" id="{00000000-0008-0000-0000-0000BD4BC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2:H48" headerRowCount="0">
  <tableColumns count="7">
    <tableColumn id="1" xr3:uid="{00000000-0010-0000-0000-000001000000}" name="Column1" dataDxfId="9"/>
    <tableColumn id="2" xr3:uid="{00000000-0010-0000-0000-000002000000}" name="Column2" dataDxfId="8"/>
    <tableColumn id="3" xr3:uid="{00000000-0010-0000-0000-000003000000}" name="Column3" dataDxfId="7"/>
    <tableColumn id="4" xr3:uid="{00000000-0010-0000-0000-000004000000}" name="Column4" dataDxfId="6"/>
    <tableColumn id="5" xr3:uid="{00000000-0010-0000-0000-000005000000}" name="Column5" dataDxfId="5"/>
    <tableColumn id="6" xr3:uid="{00000000-0010-0000-0000-000006000000}" name="Column6" dataDxfId="4"/>
    <tableColumn id="7" xr3:uid="{00000000-0010-0000-0000-000007000000}" name="Column7"/>
  </tableColumns>
  <tableStyleInfo name="Plan de Prueb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rldelproyecto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6"/>
  <sheetViews>
    <sheetView showGridLines="0" tabSelected="1" zoomScale="58" zoomScaleNormal="99" workbookViewId="0">
      <pane ySplit="3" topLeftCell="A39" activePane="bottomLeft" state="frozen"/>
      <selection pane="bottomLeft" activeCell="D41" sqref="D41"/>
    </sheetView>
  </sheetViews>
  <sheetFormatPr baseColWidth="10" defaultColWidth="12.6328125" defaultRowHeight="15" customHeight="1" x14ac:dyDescent="0.25"/>
  <cols>
    <col min="1" max="1" width="4.08984375" customWidth="1"/>
    <col min="2" max="2" width="12.08984375" customWidth="1"/>
    <col min="3" max="3" width="6.36328125" customWidth="1"/>
    <col min="4" max="4" width="40.90625" customWidth="1"/>
    <col min="5" max="5" width="47.08984375" customWidth="1"/>
    <col min="6" max="6" width="46" customWidth="1"/>
    <col min="7" max="7" width="18" customWidth="1"/>
    <col min="8" max="8" width="9.90625" customWidth="1"/>
    <col min="9" max="9" width="13.453125" customWidth="1"/>
    <col min="10" max="14" width="10.08984375" customWidth="1"/>
    <col min="15" max="15" width="5.08984375" customWidth="1"/>
    <col min="16" max="21" width="10.08984375" customWidth="1"/>
    <col min="22" max="22" width="5.08984375" customWidth="1"/>
  </cols>
  <sheetData>
    <row r="1" spans="1:22" ht="27.75" customHeight="1" x14ac:dyDescent="0.35">
      <c r="A1" s="66" t="s">
        <v>39</v>
      </c>
      <c r="B1" s="65"/>
      <c r="C1" s="65"/>
      <c r="D1" s="65"/>
      <c r="E1" s="65"/>
      <c r="F1" s="65"/>
      <c r="G1" s="65"/>
      <c r="H1" s="65"/>
      <c r="I1" s="6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.75" customHeight="1" x14ac:dyDescent="0.25">
      <c r="A2" s="67" t="s">
        <v>40</v>
      </c>
      <c r="B2" s="65"/>
      <c r="C2" s="65"/>
      <c r="D2" s="65"/>
      <c r="E2" s="65"/>
      <c r="F2" s="65"/>
      <c r="G2" s="65"/>
      <c r="H2" s="65"/>
      <c r="I2" s="65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</row>
    <row r="3" spans="1:22" ht="21.75" customHeight="1" x14ac:dyDescent="0.25">
      <c r="A3" s="68" t="s">
        <v>0</v>
      </c>
      <c r="B3" s="65"/>
      <c r="C3" s="65"/>
      <c r="D3" s="65"/>
      <c r="E3" s="65"/>
      <c r="F3" s="65"/>
      <c r="G3" s="65"/>
      <c r="H3" s="65"/>
      <c r="I3" s="65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3"/>
    </row>
    <row r="4" spans="1:22" ht="57.75" customHeight="1" x14ac:dyDescent="0.3">
      <c r="B4" s="69" t="s">
        <v>41</v>
      </c>
      <c r="C4" s="65"/>
      <c r="D4" s="65"/>
      <c r="E4" s="65"/>
      <c r="F4" s="65"/>
      <c r="G4" s="65"/>
      <c r="H4" s="65"/>
      <c r="I4" s="6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24" customHeight="1" x14ac:dyDescent="0.3">
      <c r="B5" s="5"/>
      <c r="D5" s="6"/>
      <c r="I5" s="7"/>
      <c r="J5" s="8"/>
      <c r="K5" s="8"/>
      <c r="L5" s="8"/>
      <c r="M5" s="9"/>
      <c r="N5" s="9"/>
      <c r="O5" s="9"/>
      <c r="P5" s="8"/>
      <c r="Q5" s="8"/>
      <c r="R5" s="9"/>
      <c r="S5" s="9"/>
      <c r="T5" s="9"/>
      <c r="U5" s="9"/>
      <c r="V5" s="9"/>
    </row>
    <row r="6" spans="1:22" ht="24" customHeight="1" x14ac:dyDescent="0.3">
      <c r="B6" s="5"/>
      <c r="D6" s="6" t="s">
        <v>1</v>
      </c>
      <c r="I6" s="7"/>
      <c r="J6" s="64"/>
      <c r="K6" s="65"/>
      <c r="L6" s="65"/>
      <c r="M6" s="9"/>
      <c r="N6" s="9"/>
      <c r="O6" s="9"/>
      <c r="P6" s="64"/>
      <c r="Q6" s="65"/>
      <c r="R6" s="9"/>
      <c r="S6" s="9"/>
      <c r="T6" s="9"/>
      <c r="U6" s="9"/>
      <c r="V6" s="9"/>
    </row>
    <row r="7" spans="1:22" ht="19.5" hidden="1" customHeight="1" x14ac:dyDescent="0.25">
      <c r="B7" s="5"/>
      <c r="I7" s="10"/>
      <c r="J7" s="10"/>
      <c r="K7" s="10"/>
      <c r="L7" s="10"/>
      <c r="M7" s="11"/>
      <c r="N7" s="11"/>
      <c r="O7" s="11"/>
      <c r="P7" s="11"/>
      <c r="Q7" s="11"/>
      <c r="R7" s="11"/>
      <c r="S7" s="11"/>
      <c r="T7" s="11"/>
      <c r="U7" s="11"/>
      <c r="V7" s="12"/>
    </row>
    <row r="8" spans="1:22" ht="19.5" customHeight="1" x14ac:dyDescent="0.25">
      <c r="B8" s="5"/>
      <c r="D8" s="13" t="s">
        <v>2</v>
      </c>
      <c r="E8" s="13" t="s">
        <v>3</v>
      </c>
      <c r="I8" s="14"/>
      <c r="J8" s="14"/>
      <c r="K8" s="14"/>
      <c r="L8" s="14"/>
      <c r="M8" s="11"/>
      <c r="N8" s="11"/>
      <c r="O8" s="11"/>
      <c r="P8" s="11"/>
      <c r="Q8" s="11"/>
      <c r="R8" s="11"/>
      <c r="S8" s="11"/>
      <c r="T8" s="11"/>
      <c r="U8" s="11"/>
      <c r="V8" s="12"/>
    </row>
    <row r="9" spans="1:22" ht="19.5" customHeight="1" x14ac:dyDescent="0.25">
      <c r="B9" s="5"/>
      <c r="D9" s="15" t="s">
        <v>4</v>
      </c>
      <c r="E9" s="15">
        <f>COUNTIF(G25:G133,D9)</f>
        <v>7</v>
      </c>
      <c r="I9" s="14"/>
      <c r="J9" s="14"/>
      <c r="K9" s="14"/>
      <c r="L9" s="14"/>
      <c r="M9" s="11"/>
      <c r="N9" s="11"/>
      <c r="O9" s="11"/>
      <c r="P9" s="11"/>
      <c r="Q9" s="11"/>
      <c r="R9" s="11"/>
      <c r="S9" s="11"/>
      <c r="T9" s="11"/>
      <c r="U9" s="11"/>
      <c r="V9" s="12"/>
    </row>
    <row r="10" spans="1:22" ht="19.5" customHeight="1" x14ac:dyDescent="0.25">
      <c r="B10" s="5"/>
      <c r="D10" s="15" t="s">
        <v>5</v>
      </c>
      <c r="E10" s="15">
        <f>COUNTIF(G25:G134,D10)</f>
        <v>19</v>
      </c>
      <c r="I10" s="14"/>
      <c r="J10" s="14"/>
      <c r="K10" s="14"/>
      <c r="L10" s="14"/>
      <c r="M10" s="11"/>
      <c r="N10" s="11"/>
      <c r="O10" s="11"/>
      <c r="P10" s="11"/>
      <c r="Q10" s="11"/>
      <c r="R10" s="11"/>
      <c r="S10" s="11"/>
      <c r="T10" s="11"/>
      <c r="U10" s="11"/>
      <c r="V10" s="12"/>
    </row>
    <row r="11" spans="1:22" ht="19.5" customHeight="1" x14ac:dyDescent="0.25">
      <c r="B11" s="5"/>
      <c r="D11" s="15" t="s">
        <v>6</v>
      </c>
      <c r="E11" s="15">
        <f>COUNTIF(G25:G135,D11)</f>
        <v>1</v>
      </c>
      <c r="I11" s="14"/>
      <c r="J11" s="14"/>
      <c r="K11" s="14"/>
      <c r="L11" s="14"/>
      <c r="M11" s="11"/>
      <c r="N11" s="11"/>
      <c r="O11" s="11"/>
      <c r="P11" s="11"/>
      <c r="Q11" s="11"/>
      <c r="R11" s="11"/>
      <c r="S11" s="11"/>
      <c r="T11" s="11"/>
      <c r="U11" s="11"/>
      <c r="V11" s="12"/>
    </row>
    <row r="12" spans="1:22" ht="19.5" customHeight="1" x14ac:dyDescent="0.25">
      <c r="B12" s="5"/>
      <c r="D12" s="16" t="s">
        <v>3</v>
      </c>
      <c r="E12" s="16">
        <f>SUM(E9:E11)</f>
        <v>27</v>
      </c>
      <c r="I12" s="14"/>
      <c r="J12" s="14"/>
      <c r="K12" s="14"/>
      <c r="L12" s="14"/>
      <c r="M12" s="11"/>
      <c r="N12" s="11"/>
      <c r="O12" s="11"/>
      <c r="P12" s="11"/>
      <c r="Q12" s="11"/>
      <c r="R12" s="11"/>
      <c r="S12" s="11"/>
      <c r="T12" s="11"/>
      <c r="U12" s="11"/>
      <c r="V12" s="12"/>
    </row>
    <row r="13" spans="1:22" ht="19.5" customHeight="1" x14ac:dyDescent="0.25">
      <c r="B13" s="5"/>
      <c r="D13" s="15"/>
      <c r="E13" s="15" t="s">
        <v>7</v>
      </c>
      <c r="I13" s="14"/>
      <c r="J13" s="14"/>
      <c r="K13" s="14"/>
      <c r="L13" s="14"/>
      <c r="M13" s="11"/>
      <c r="N13" s="11"/>
      <c r="O13" s="11"/>
      <c r="P13" s="11"/>
      <c r="Q13" s="11"/>
      <c r="R13" s="11"/>
      <c r="S13" s="11"/>
      <c r="T13" s="11"/>
      <c r="U13" s="11"/>
      <c r="V13" s="12"/>
    </row>
    <row r="14" spans="1:22" ht="19.5" customHeight="1" x14ac:dyDescent="0.25">
      <c r="B14" s="5"/>
      <c r="I14" s="14"/>
      <c r="J14" s="14"/>
      <c r="K14" s="14"/>
      <c r="L14" s="14"/>
      <c r="M14" s="11"/>
      <c r="N14" s="11"/>
      <c r="O14" s="11"/>
      <c r="P14" s="11"/>
      <c r="Q14" s="11"/>
      <c r="R14" s="11"/>
      <c r="S14" s="11"/>
      <c r="T14" s="11"/>
      <c r="U14" s="11"/>
      <c r="V14" s="12"/>
    </row>
    <row r="15" spans="1:22" ht="19.5" customHeight="1" x14ac:dyDescent="0.25">
      <c r="B15" s="5"/>
      <c r="I15" s="14"/>
      <c r="J15" s="14"/>
      <c r="K15" s="14"/>
      <c r="L15" s="14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9.5" customHeight="1" x14ac:dyDescent="0.25">
      <c r="B16" s="5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9.5" customHeight="1" x14ac:dyDescent="0.25">
      <c r="B17" s="5"/>
      <c r="I17" s="17"/>
      <c r="J17" s="14"/>
      <c r="K17" s="14"/>
      <c r="L17" s="14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9.5" hidden="1" customHeight="1" x14ac:dyDescent="0.25">
      <c r="A18" s="12"/>
      <c r="B18" s="18"/>
      <c r="C18" s="19"/>
      <c r="D18" s="19"/>
      <c r="E18" s="19"/>
      <c r="F18" s="20"/>
      <c r="G18" s="10"/>
      <c r="H18" s="14"/>
      <c r="I18" s="14"/>
      <c r="J18" s="14"/>
      <c r="K18" s="14"/>
      <c r="L18" s="14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30" customHeight="1" x14ac:dyDescent="0.25">
      <c r="A19" s="12"/>
      <c r="B19" s="21"/>
      <c r="C19" s="22"/>
      <c r="D19" s="22"/>
      <c r="E19" s="23"/>
      <c r="F19" s="23"/>
      <c r="G19" s="24"/>
      <c r="H19" s="24"/>
      <c r="I19" s="25"/>
      <c r="J19" s="25"/>
      <c r="K19" s="25"/>
      <c r="L19" s="25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30" customHeight="1" x14ac:dyDescent="0.25">
      <c r="I20" s="25"/>
      <c r="J20" s="25"/>
      <c r="K20" s="25"/>
      <c r="L20" s="25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30" customHeight="1" x14ac:dyDescent="0.25">
      <c r="H21" s="28" t="s">
        <v>14</v>
      </c>
      <c r="I21" s="28"/>
      <c r="J21" s="25"/>
      <c r="K21" s="25"/>
      <c r="L21" s="25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85" customHeight="1" x14ac:dyDescent="0.25">
      <c r="H22" s="35"/>
      <c r="I22" s="25"/>
      <c r="J22" s="25"/>
      <c r="K22" s="25"/>
      <c r="L22" s="25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89" customHeight="1" x14ac:dyDescent="0.55000000000000004">
      <c r="A23" s="4"/>
      <c r="B23" s="47" t="s">
        <v>8</v>
      </c>
      <c r="C23" s="46"/>
      <c r="D23" s="46"/>
      <c r="E23" s="46"/>
      <c r="F23" s="46"/>
      <c r="G23" s="46"/>
      <c r="H23" s="36"/>
      <c r="I23" s="25"/>
      <c r="J23" s="25"/>
      <c r="K23" s="25"/>
      <c r="L23" s="25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73" customHeight="1" x14ac:dyDescent="0.25">
      <c r="A24" s="9"/>
      <c r="B24" s="27" t="s">
        <v>9</v>
      </c>
      <c r="C24" s="28" t="s">
        <v>10</v>
      </c>
      <c r="D24" s="28" t="s">
        <v>11</v>
      </c>
      <c r="E24" s="29" t="s">
        <v>12</v>
      </c>
      <c r="F24" s="28" t="s">
        <v>13</v>
      </c>
      <c r="G24" s="28" t="s">
        <v>2</v>
      </c>
      <c r="H24" s="38"/>
      <c r="I24" s="25"/>
      <c r="J24" s="25"/>
      <c r="K24" s="25"/>
      <c r="L24" s="25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52.5" customHeight="1" x14ac:dyDescent="0.25">
      <c r="A25" s="12"/>
      <c r="B25" s="30" t="s">
        <v>43</v>
      </c>
      <c r="C25" s="31" t="s">
        <v>15</v>
      </c>
      <c r="D25" s="32" t="s">
        <v>42</v>
      </c>
      <c r="E25" s="30" t="s">
        <v>47</v>
      </c>
      <c r="F25" s="33"/>
      <c r="G25" s="34" t="s">
        <v>5</v>
      </c>
      <c r="H25" s="36"/>
      <c r="I25" s="25"/>
      <c r="J25" s="25"/>
      <c r="K25" s="25"/>
      <c r="L25" s="25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41.5" customHeight="1" x14ac:dyDescent="0.25">
      <c r="A26" s="12"/>
      <c r="B26" s="58" t="s">
        <v>44</v>
      </c>
      <c r="C26" s="59" t="s">
        <v>45</v>
      </c>
      <c r="D26" s="58" t="s">
        <v>46</v>
      </c>
      <c r="E26" s="60" t="s">
        <v>48</v>
      </c>
      <c r="F26" s="61"/>
      <c r="G26" s="42" t="s">
        <v>5</v>
      </c>
      <c r="H26" s="36"/>
      <c r="I26" s="25"/>
      <c r="J26" s="25"/>
      <c r="K26" s="25"/>
      <c r="L26" s="25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46" customHeight="1" x14ac:dyDescent="0.25">
      <c r="A27" s="12"/>
      <c r="B27" s="30" t="s">
        <v>49</v>
      </c>
      <c r="C27" s="37" t="s">
        <v>50</v>
      </c>
      <c r="D27" s="43" t="s">
        <v>51</v>
      </c>
      <c r="E27" s="43" t="s">
        <v>52</v>
      </c>
      <c r="F27" s="44" t="e" vm="1">
        <v>#VALUE!</v>
      </c>
      <c r="G27" s="42" t="s">
        <v>5</v>
      </c>
      <c r="H27" s="36"/>
      <c r="I27" s="25"/>
      <c r="J27" s="25"/>
      <c r="K27" s="25"/>
      <c r="L27" s="25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54" customHeight="1" x14ac:dyDescent="0.25">
      <c r="A28" s="12"/>
      <c r="B28" s="58" t="s">
        <v>54</v>
      </c>
      <c r="C28" s="59" t="s">
        <v>53</v>
      </c>
      <c r="D28" s="58" t="s">
        <v>55</v>
      </c>
      <c r="E28" s="58" t="s">
        <v>58</v>
      </c>
      <c r="F28" s="61" t="e" vm="2">
        <v>#VALUE!</v>
      </c>
      <c r="G28" s="42" t="s">
        <v>5</v>
      </c>
      <c r="H28" s="36"/>
      <c r="I28" s="25"/>
      <c r="J28" s="25"/>
      <c r="K28" s="25"/>
      <c r="L28" s="25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51" customHeight="1" x14ac:dyDescent="0.25">
      <c r="A29" s="12"/>
      <c r="B29" s="30" t="s">
        <v>60</v>
      </c>
      <c r="C29" s="37" t="s">
        <v>56</v>
      </c>
      <c r="D29" s="43" t="s">
        <v>57</v>
      </c>
      <c r="E29" s="43" t="s">
        <v>59</v>
      </c>
      <c r="F29" s="44" t="e" vm="3">
        <v>#VALUE!</v>
      </c>
      <c r="G29" s="42" t="s">
        <v>5</v>
      </c>
      <c r="H29" s="36"/>
      <c r="I29" s="25"/>
      <c r="J29" s="25"/>
      <c r="K29" s="25"/>
      <c r="L29" s="25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236.5" customHeight="1" x14ac:dyDescent="0.25">
      <c r="A30" s="12"/>
      <c r="B30" s="58" t="s">
        <v>61</v>
      </c>
      <c r="C30" s="59" t="s">
        <v>62</v>
      </c>
      <c r="D30" s="58" t="s">
        <v>63</v>
      </c>
      <c r="E30" s="62" t="s">
        <v>64</v>
      </c>
      <c r="F30" s="61" t="e" vm="4">
        <v>#VALUE!</v>
      </c>
      <c r="G30" s="42" t="s">
        <v>5</v>
      </c>
      <c r="H30" s="36"/>
      <c r="I30" s="25"/>
      <c r="J30" s="25"/>
      <c r="K30" s="25"/>
      <c r="L30" s="25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249.5" customHeight="1" x14ac:dyDescent="0.25">
      <c r="A31" s="12"/>
      <c r="B31" s="30" t="s">
        <v>65</v>
      </c>
      <c r="C31" s="37" t="s">
        <v>66</v>
      </c>
      <c r="D31" s="43" t="s">
        <v>67</v>
      </c>
      <c r="E31" s="43" t="s">
        <v>68</v>
      </c>
      <c r="F31" s="44" t="e" vm="5">
        <v>#VALUE!</v>
      </c>
      <c r="G31" s="42" t="s">
        <v>5</v>
      </c>
      <c r="H31" s="36"/>
      <c r="I31" s="25"/>
      <c r="J31" s="25"/>
      <c r="K31" s="25"/>
      <c r="L31" s="25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01" customHeight="1" x14ac:dyDescent="0.25">
      <c r="A32" s="12"/>
      <c r="B32" s="58" t="s">
        <v>69</v>
      </c>
      <c r="C32" s="59" t="s">
        <v>70</v>
      </c>
      <c r="D32" s="58" t="s">
        <v>71</v>
      </c>
      <c r="E32" s="58" t="s">
        <v>72</v>
      </c>
      <c r="F32" s="61" t="e" vm="6">
        <v>#VALUE!</v>
      </c>
      <c r="G32" s="42" t="s">
        <v>5</v>
      </c>
      <c r="H32" s="36"/>
      <c r="I32" s="25"/>
      <c r="J32" s="25"/>
      <c r="K32" s="25"/>
      <c r="L32" s="25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39.5" customHeight="1" x14ac:dyDescent="0.25">
      <c r="A33" s="12"/>
      <c r="B33" s="30" t="s">
        <v>75</v>
      </c>
      <c r="C33" s="37" t="s">
        <v>73</v>
      </c>
      <c r="D33" s="43" t="s">
        <v>74</v>
      </c>
      <c r="E33" s="43" t="s">
        <v>83</v>
      </c>
      <c r="F33" s="44" t="e" vm="7">
        <v>#VALUE!</v>
      </c>
      <c r="G33" s="42" t="s">
        <v>5</v>
      </c>
      <c r="H33" s="50"/>
      <c r="I33" s="25"/>
      <c r="J33" s="25"/>
      <c r="K33" s="25"/>
      <c r="L33" s="25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42.5" customHeight="1" x14ac:dyDescent="0.25">
      <c r="A34" s="12"/>
      <c r="B34" s="58" t="s">
        <v>76</v>
      </c>
      <c r="C34" s="59" t="s">
        <v>78</v>
      </c>
      <c r="D34" s="58" t="s">
        <v>77</v>
      </c>
      <c r="E34" s="58" t="s">
        <v>79</v>
      </c>
      <c r="F34" s="61" t="e" vm="8">
        <v>#VALUE!</v>
      </c>
      <c r="G34" s="42" t="s">
        <v>5</v>
      </c>
      <c r="H34" s="36"/>
      <c r="I34" s="25"/>
      <c r="J34" s="25"/>
      <c r="K34" s="25"/>
      <c r="L34" s="25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131" customHeight="1" x14ac:dyDescent="0.25">
      <c r="A35" s="12"/>
      <c r="B35" s="30" t="s">
        <v>86</v>
      </c>
      <c r="C35" s="37" t="s">
        <v>80</v>
      </c>
      <c r="D35" s="43" t="s">
        <v>87</v>
      </c>
      <c r="E35" s="43" t="s">
        <v>88</v>
      </c>
      <c r="F35" s="44" t="e" vm="9">
        <v>#VALUE!</v>
      </c>
      <c r="G35" s="42" t="s">
        <v>5</v>
      </c>
      <c r="H35" s="36"/>
      <c r="I35" s="25"/>
      <c r="J35" s="25"/>
      <c r="K35" s="25"/>
      <c r="L35" s="25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61.5" customHeight="1" x14ac:dyDescent="0.25">
      <c r="A36" s="12"/>
      <c r="B36" s="30" t="s">
        <v>84</v>
      </c>
      <c r="C36" s="37" t="s">
        <v>82</v>
      </c>
      <c r="D36" s="30" t="s">
        <v>81</v>
      </c>
      <c r="E36" s="48" t="s">
        <v>85</v>
      </c>
      <c r="F36" s="41" t="e" vm="10">
        <v>#VALUE!</v>
      </c>
      <c r="G36" s="42" t="s">
        <v>5</v>
      </c>
      <c r="H36" s="36"/>
      <c r="I36" s="25"/>
      <c r="J36" s="25"/>
      <c r="K36" s="25"/>
      <c r="L36" s="25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63" customHeight="1" x14ac:dyDescent="0.25">
      <c r="A37" s="12"/>
      <c r="B37" s="51" t="s">
        <v>89</v>
      </c>
      <c r="C37" s="52" t="s">
        <v>90</v>
      </c>
      <c r="D37" s="51" t="s">
        <v>91</v>
      </c>
      <c r="E37" s="49" t="s">
        <v>94</v>
      </c>
      <c r="F37" s="53" t="e" vm="11">
        <v>#VALUE!</v>
      </c>
      <c r="G37" s="42" t="s">
        <v>5</v>
      </c>
      <c r="H37" s="36"/>
      <c r="I37" s="25"/>
      <c r="J37" s="25"/>
      <c r="K37" s="25"/>
      <c r="L37" s="25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46" customHeight="1" x14ac:dyDescent="0.25">
      <c r="A38" s="12"/>
      <c r="B38" s="49" t="s">
        <v>93</v>
      </c>
      <c r="C38" s="54" t="s">
        <v>92</v>
      </c>
      <c r="D38" s="51" t="s">
        <v>95</v>
      </c>
      <c r="E38" s="51" t="s">
        <v>96</v>
      </c>
      <c r="F38" s="53" t="e" vm="12">
        <v>#VALUE!</v>
      </c>
      <c r="G38" s="42" t="s">
        <v>5</v>
      </c>
      <c r="H38" s="55"/>
      <c r="I38" s="25"/>
      <c r="J38" s="25"/>
      <c r="K38" s="25"/>
      <c r="L38" s="25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203.5" customHeight="1" x14ac:dyDescent="0.25">
      <c r="A39" s="12"/>
      <c r="B39" s="51" t="s">
        <v>97</v>
      </c>
      <c r="C39" s="52" t="s">
        <v>98</v>
      </c>
      <c r="D39" s="51" t="s">
        <v>97</v>
      </c>
      <c r="E39" s="51" t="s">
        <v>99</v>
      </c>
      <c r="F39" s="53" t="e" vm="13">
        <v>#VALUE!</v>
      </c>
      <c r="G39" s="42" t="s">
        <v>5</v>
      </c>
      <c r="H39" s="56"/>
      <c r="I39" s="25"/>
      <c r="J39" s="25"/>
      <c r="K39" s="25"/>
      <c r="L39" s="25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61" customHeight="1" x14ac:dyDescent="0.25">
      <c r="A40" s="12"/>
      <c r="B40" s="49" t="s">
        <v>100</v>
      </c>
      <c r="C40" s="54" t="s">
        <v>101</v>
      </c>
      <c r="D40" s="51" t="s">
        <v>102</v>
      </c>
      <c r="E40" s="51" t="s">
        <v>103</v>
      </c>
      <c r="F40" s="53" t="e" vm="14">
        <v>#VALUE!</v>
      </c>
      <c r="G40" s="42" t="s">
        <v>5</v>
      </c>
      <c r="H40" s="56"/>
      <c r="I40" s="25"/>
      <c r="J40" s="25"/>
      <c r="K40" s="25"/>
      <c r="L40" s="25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10" customHeight="1" x14ac:dyDescent="0.25">
      <c r="A41" s="12"/>
      <c r="B41" s="51" t="s">
        <v>105</v>
      </c>
      <c r="C41" s="52" t="s">
        <v>104</v>
      </c>
      <c r="D41" s="51" t="s">
        <v>120</v>
      </c>
      <c r="E41" s="51" t="s">
        <v>106</v>
      </c>
      <c r="F41" s="46" t="e" vm="15">
        <v>#VALUE!</v>
      </c>
      <c r="G41" s="42" t="s">
        <v>5</v>
      </c>
      <c r="H41" s="57"/>
      <c r="J41" s="25"/>
      <c r="K41" s="25"/>
      <c r="L41" s="25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30" customHeight="1" x14ac:dyDescent="0.25">
      <c r="A42" s="12"/>
      <c r="B42" s="51" t="s">
        <v>107</v>
      </c>
      <c r="C42" s="52" t="s">
        <v>108</v>
      </c>
      <c r="D42" s="51" t="s">
        <v>109</v>
      </c>
      <c r="E42" s="49" t="s">
        <v>110</v>
      </c>
      <c r="F42" s="53" t="e" vm="16">
        <v>#VALUE!</v>
      </c>
      <c r="G42" s="42" t="s">
        <v>5</v>
      </c>
      <c r="H42" s="57"/>
      <c r="J42" s="25"/>
      <c r="K42" s="25"/>
      <c r="L42" s="25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30" customHeight="1" x14ac:dyDescent="0.25">
      <c r="A43" s="12"/>
      <c r="B43" s="49" t="s">
        <v>111</v>
      </c>
      <c r="C43" s="54" t="s">
        <v>112</v>
      </c>
      <c r="D43" s="51" t="s">
        <v>113</v>
      </c>
      <c r="E43" s="51" t="s">
        <v>114</v>
      </c>
      <c r="F43" s="53" t="e" vm="17">
        <v>#VALUE!</v>
      </c>
      <c r="G43" s="42" t="s">
        <v>5</v>
      </c>
      <c r="H43" s="57"/>
      <c r="J43" s="25"/>
      <c r="K43" s="25"/>
      <c r="L43" s="25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60" customHeight="1" x14ac:dyDescent="0.25">
      <c r="A44" s="12"/>
      <c r="B44" s="51" t="s">
        <v>115</v>
      </c>
      <c r="C44" s="52" t="s">
        <v>117</v>
      </c>
      <c r="D44" s="51" t="s">
        <v>116</v>
      </c>
      <c r="E44" s="51" t="s">
        <v>118</v>
      </c>
      <c r="F44" s="53" t="e" vm="18">
        <v>#VALUE!</v>
      </c>
      <c r="G44" s="42" t="s">
        <v>6</v>
      </c>
      <c r="H44" s="63" t="s">
        <v>119</v>
      </c>
      <c r="J44" s="25"/>
      <c r="K44" s="25"/>
      <c r="L44" s="25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30" customHeight="1" x14ac:dyDescent="0.25">
      <c r="A45" s="12"/>
      <c r="B45" s="49"/>
      <c r="C45" s="54"/>
      <c r="D45" s="51"/>
      <c r="E45" s="51"/>
      <c r="F45" s="53"/>
      <c r="G45" s="42" t="s">
        <v>4</v>
      </c>
      <c r="H45" s="57"/>
      <c r="J45" s="25"/>
      <c r="K45" s="25"/>
      <c r="L45" s="25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30" customHeight="1" x14ac:dyDescent="0.25">
      <c r="A46" s="12"/>
      <c r="B46" s="51"/>
      <c r="C46" s="52"/>
      <c r="D46" s="51"/>
      <c r="E46" s="51"/>
      <c r="F46" s="53"/>
      <c r="G46" s="42" t="s">
        <v>4</v>
      </c>
      <c r="H46" s="57"/>
      <c r="J46" s="25"/>
      <c r="K46" s="25"/>
      <c r="L46" s="25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30" customHeight="1" x14ac:dyDescent="0.25">
      <c r="A47" s="12"/>
      <c r="B47" s="51"/>
      <c r="C47" s="52"/>
      <c r="D47" s="51"/>
      <c r="E47" s="49"/>
      <c r="F47" s="53"/>
      <c r="G47" s="42" t="s">
        <v>4</v>
      </c>
      <c r="H47" s="57"/>
      <c r="J47" s="25"/>
      <c r="K47" s="25"/>
      <c r="L47" s="25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30" customHeight="1" x14ac:dyDescent="0.25">
      <c r="A48" s="12"/>
      <c r="B48" s="49"/>
      <c r="C48" s="54"/>
      <c r="D48" s="51"/>
      <c r="E48" s="51"/>
      <c r="F48" s="53"/>
      <c r="G48" s="42" t="s">
        <v>4</v>
      </c>
      <c r="H48" s="57"/>
      <c r="J48" s="25"/>
      <c r="K48" s="25"/>
      <c r="L48" s="25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30" customHeight="1" x14ac:dyDescent="0.25">
      <c r="A49" s="12"/>
      <c r="B49" s="51"/>
      <c r="C49" s="52"/>
      <c r="D49" s="51"/>
      <c r="E49" s="51"/>
      <c r="F49" s="53"/>
      <c r="G49" s="42" t="s">
        <v>4</v>
      </c>
      <c r="H49" s="57"/>
      <c r="J49" s="25"/>
      <c r="K49" s="25"/>
      <c r="L49" s="25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30" customHeight="1" x14ac:dyDescent="0.25">
      <c r="A50" s="12"/>
      <c r="B50" s="49"/>
      <c r="C50" s="54"/>
      <c r="D50" s="51"/>
      <c r="E50" s="51"/>
      <c r="F50" s="53"/>
      <c r="G50" s="42" t="s">
        <v>4</v>
      </c>
      <c r="H50" s="57"/>
      <c r="J50" s="25"/>
      <c r="K50" s="25"/>
      <c r="L50" s="25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30" customHeight="1" x14ac:dyDescent="0.25">
      <c r="A51" s="12"/>
      <c r="B51" s="51"/>
      <c r="C51" s="52"/>
      <c r="D51" s="51"/>
      <c r="E51" s="51"/>
      <c r="F51" s="53"/>
      <c r="G51" s="42" t="s">
        <v>4</v>
      </c>
      <c r="H51" s="57"/>
      <c r="J51" s="25"/>
      <c r="K51" s="25"/>
      <c r="L51" s="25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30" customHeight="1" x14ac:dyDescent="0.25">
      <c r="A52" s="12"/>
      <c r="J52" s="25"/>
      <c r="K52" s="25"/>
      <c r="L52" s="25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30" customHeight="1" x14ac:dyDescent="0.25">
      <c r="A53" s="12"/>
      <c r="J53" s="25"/>
      <c r="K53" s="25"/>
      <c r="L53" s="25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30" customHeight="1" x14ac:dyDescent="0.25">
      <c r="A54" s="12"/>
      <c r="J54" s="25"/>
      <c r="K54" s="25"/>
      <c r="L54" s="25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30" customHeight="1" x14ac:dyDescent="0.25">
      <c r="A55" s="12"/>
      <c r="J55" s="25"/>
      <c r="K55" s="25"/>
      <c r="L55" s="25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30" customHeight="1" x14ac:dyDescent="0.25">
      <c r="A56" s="12"/>
      <c r="J56" s="25"/>
      <c r="K56" s="25"/>
      <c r="L56" s="25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30" customHeight="1" x14ac:dyDescent="0.25">
      <c r="A57" s="12"/>
      <c r="J57" s="25"/>
      <c r="K57" s="25"/>
      <c r="L57" s="25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30" customHeight="1" x14ac:dyDescent="0.25">
      <c r="A58" s="12"/>
      <c r="I58" s="25"/>
      <c r="J58" s="25"/>
      <c r="K58" s="25"/>
      <c r="L58" s="25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30" customHeight="1" x14ac:dyDescent="0.25">
      <c r="A59" s="12"/>
      <c r="I59" s="40" t="s">
        <v>2</v>
      </c>
      <c r="J59" s="25"/>
      <c r="K59" s="25"/>
      <c r="L59" s="25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30" customHeight="1" x14ac:dyDescent="0.25">
      <c r="A60" s="12"/>
      <c r="I60" s="42" t="s">
        <v>22</v>
      </c>
      <c r="J60" s="25"/>
      <c r="K60" s="25"/>
      <c r="L60" s="25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30" customHeight="1" x14ac:dyDescent="0.55000000000000004">
      <c r="A61" s="12"/>
      <c r="B61" s="26" t="s">
        <v>17</v>
      </c>
      <c r="D61" s="39"/>
      <c r="E61" s="39"/>
      <c r="F61" s="39"/>
      <c r="G61" s="39"/>
      <c r="H61" s="25"/>
      <c r="I61" s="42" t="s">
        <v>22</v>
      </c>
      <c r="J61" s="25"/>
      <c r="K61" s="25"/>
      <c r="L61" s="25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30" customHeight="1" x14ac:dyDescent="0.25">
      <c r="A62" s="12"/>
      <c r="B62" s="27" t="s">
        <v>9</v>
      </c>
      <c r="C62" s="40" t="s">
        <v>10</v>
      </c>
      <c r="D62" s="40" t="s">
        <v>11</v>
      </c>
      <c r="E62" s="40" t="s">
        <v>18</v>
      </c>
      <c r="F62" s="40" t="s">
        <v>19</v>
      </c>
      <c r="G62" s="40" t="s">
        <v>12</v>
      </c>
      <c r="H62" s="40" t="s">
        <v>20</v>
      </c>
      <c r="I62" s="42" t="s">
        <v>22</v>
      </c>
      <c r="J62" s="25"/>
      <c r="K62" s="25"/>
      <c r="L62" s="25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30" customHeight="1" x14ac:dyDescent="0.25">
      <c r="A63" s="12"/>
      <c r="B63" s="18"/>
      <c r="C63" s="19" t="s">
        <v>16</v>
      </c>
      <c r="D63" s="18"/>
      <c r="E63" s="18"/>
      <c r="F63" s="41"/>
      <c r="G63" s="42"/>
      <c r="H63" s="42" t="s">
        <v>21</v>
      </c>
      <c r="I63" s="42" t="s">
        <v>22</v>
      </c>
      <c r="J63" s="25"/>
      <c r="K63" s="25"/>
      <c r="L63" s="25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30" customHeight="1" x14ac:dyDescent="0.25">
      <c r="A64" s="12"/>
      <c r="B64" s="18"/>
      <c r="C64" s="19" t="s">
        <v>23</v>
      </c>
      <c r="D64" s="43"/>
      <c r="E64" s="43"/>
      <c r="F64" s="44"/>
      <c r="G64" s="42"/>
      <c r="H64" s="42" t="s">
        <v>21</v>
      </c>
      <c r="I64" s="42" t="s">
        <v>22</v>
      </c>
      <c r="J64" s="25"/>
      <c r="K64" s="25"/>
      <c r="L64" s="25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ht="30" customHeight="1" x14ac:dyDescent="0.25">
      <c r="A65" s="12"/>
      <c r="B65" s="18"/>
      <c r="C65" s="19" t="s">
        <v>24</v>
      </c>
      <c r="D65" s="43"/>
      <c r="E65" s="43"/>
      <c r="F65" s="44"/>
      <c r="G65" s="42"/>
      <c r="H65" s="42" t="s">
        <v>21</v>
      </c>
      <c r="I65" s="42" t="s">
        <v>22</v>
      </c>
      <c r="J65" s="25"/>
      <c r="K65" s="25"/>
      <c r="L65" s="25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30" customHeight="1" x14ac:dyDescent="0.25">
      <c r="A66" s="12"/>
      <c r="B66" s="18"/>
      <c r="C66" s="19" t="s">
        <v>25</v>
      </c>
      <c r="D66" s="43"/>
      <c r="E66" s="43"/>
      <c r="F66" s="44"/>
      <c r="G66" s="42"/>
      <c r="H66" s="42" t="s">
        <v>21</v>
      </c>
      <c r="I66" s="42" t="s">
        <v>22</v>
      </c>
      <c r="J66" s="25"/>
      <c r="K66" s="25"/>
      <c r="L66" s="25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ht="30" customHeight="1" x14ac:dyDescent="0.25">
      <c r="A67" s="12"/>
      <c r="B67" s="18"/>
      <c r="C67" s="19" t="s">
        <v>26</v>
      </c>
      <c r="D67" s="43"/>
      <c r="E67" s="43"/>
      <c r="F67" s="44"/>
      <c r="G67" s="42"/>
      <c r="H67" s="42" t="s">
        <v>21</v>
      </c>
      <c r="I67" s="42" t="s">
        <v>22</v>
      </c>
      <c r="J67" s="25"/>
      <c r="K67" s="25"/>
      <c r="L67" s="25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30" customHeight="1" x14ac:dyDescent="0.25">
      <c r="A68" s="12"/>
      <c r="B68" s="18"/>
      <c r="C68" s="19" t="s">
        <v>27</v>
      </c>
      <c r="D68" s="43"/>
      <c r="E68" s="43"/>
      <c r="F68" s="44"/>
      <c r="G68" s="42"/>
      <c r="H68" s="42" t="s">
        <v>21</v>
      </c>
      <c r="I68" s="42" t="s">
        <v>22</v>
      </c>
      <c r="J68" s="25"/>
      <c r="K68" s="25"/>
      <c r="L68" s="25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30" customHeight="1" x14ac:dyDescent="0.25">
      <c r="A69" s="12"/>
      <c r="B69" s="18"/>
      <c r="C69" s="19" t="s">
        <v>28</v>
      </c>
      <c r="D69" s="43"/>
      <c r="E69" s="43"/>
      <c r="F69" s="44"/>
      <c r="G69" s="42"/>
      <c r="H69" s="42" t="s">
        <v>21</v>
      </c>
      <c r="I69" s="42" t="s">
        <v>22</v>
      </c>
      <c r="J69" s="25"/>
      <c r="K69" s="25"/>
      <c r="L69" s="25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30" customHeight="1" x14ac:dyDescent="0.25">
      <c r="A70" s="12"/>
      <c r="B70" s="18"/>
      <c r="C70" s="19" t="s">
        <v>29</v>
      </c>
      <c r="D70" s="43"/>
      <c r="E70" s="43"/>
      <c r="F70" s="44"/>
      <c r="G70" s="42"/>
      <c r="H70" s="42" t="s">
        <v>21</v>
      </c>
      <c r="I70" s="42" t="s">
        <v>22</v>
      </c>
      <c r="J70" s="25"/>
      <c r="K70" s="25"/>
      <c r="L70" s="25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30" customHeight="1" x14ac:dyDescent="0.25">
      <c r="A71" s="12"/>
      <c r="B71" s="18"/>
      <c r="C71" s="19" t="s">
        <v>30</v>
      </c>
      <c r="D71" s="43"/>
      <c r="E71" s="43"/>
      <c r="F71" s="44"/>
      <c r="G71" s="42"/>
      <c r="H71" s="42" t="s">
        <v>21</v>
      </c>
      <c r="I71" s="42" t="s">
        <v>22</v>
      </c>
      <c r="J71" s="25"/>
      <c r="K71" s="25"/>
      <c r="L71" s="25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30" customHeight="1" x14ac:dyDescent="0.25">
      <c r="A72" s="12"/>
      <c r="B72" s="18"/>
      <c r="C72" s="19" t="s">
        <v>31</v>
      </c>
      <c r="D72" s="43"/>
      <c r="E72" s="43"/>
      <c r="F72" s="44"/>
      <c r="G72" s="42"/>
      <c r="H72" s="42" t="s">
        <v>21</v>
      </c>
      <c r="I72" s="42" t="s">
        <v>22</v>
      </c>
      <c r="J72" s="25"/>
      <c r="K72" s="25"/>
      <c r="L72" s="25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30" customHeight="1" x14ac:dyDescent="0.25">
      <c r="A73" s="12"/>
      <c r="B73" s="18"/>
      <c r="C73" s="19" t="s">
        <v>32</v>
      </c>
      <c r="D73" s="43"/>
      <c r="E73" s="43"/>
      <c r="F73" s="44"/>
      <c r="G73" s="42"/>
      <c r="H73" s="42" t="s">
        <v>21</v>
      </c>
      <c r="I73" s="42" t="s">
        <v>22</v>
      </c>
      <c r="J73" s="25"/>
      <c r="K73" s="25"/>
      <c r="L73" s="25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30" customHeight="1" x14ac:dyDescent="0.25">
      <c r="A74" s="12"/>
      <c r="B74" s="18"/>
      <c r="C74" s="19" t="s">
        <v>33</v>
      </c>
      <c r="D74" s="18"/>
      <c r="E74" s="18"/>
      <c r="F74" s="41"/>
      <c r="G74" s="42"/>
      <c r="H74" s="42" t="s">
        <v>21</v>
      </c>
      <c r="I74" s="42" t="s">
        <v>22</v>
      </c>
      <c r="J74" s="25"/>
      <c r="K74" s="25"/>
      <c r="L74" s="25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30" customHeight="1" x14ac:dyDescent="0.25">
      <c r="A75" s="12"/>
      <c r="B75" s="18"/>
      <c r="C75" s="19" t="s">
        <v>34</v>
      </c>
      <c r="D75" s="43"/>
      <c r="E75" s="43"/>
      <c r="F75" s="44"/>
      <c r="G75" s="42"/>
      <c r="H75" s="42" t="s">
        <v>21</v>
      </c>
      <c r="I75" s="42" t="s">
        <v>22</v>
      </c>
      <c r="J75" s="25"/>
      <c r="K75" s="25"/>
      <c r="L75" s="25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30" customHeight="1" x14ac:dyDescent="0.25">
      <c r="A76" s="12"/>
      <c r="B76" s="18"/>
      <c r="C76" s="19" t="s">
        <v>35</v>
      </c>
      <c r="D76" s="43"/>
      <c r="E76" s="43"/>
      <c r="F76" s="44"/>
      <c r="G76" s="42"/>
      <c r="H76" s="42" t="s">
        <v>21</v>
      </c>
      <c r="I76" s="42" t="s">
        <v>22</v>
      </c>
      <c r="J76" s="25"/>
      <c r="K76" s="25"/>
      <c r="L76" s="25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ht="30" customHeight="1" x14ac:dyDescent="0.25">
      <c r="A77" s="12"/>
      <c r="B77" s="18"/>
      <c r="C77" s="19" t="s">
        <v>36</v>
      </c>
      <c r="D77" s="43"/>
      <c r="E77" s="43"/>
      <c r="F77" s="44"/>
      <c r="G77" s="42"/>
      <c r="H77" s="42" t="s">
        <v>21</v>
      </c>
      <c r="I77" s="25"/>
      <c r="J77" s="25"/>
      <c r="K77" s="25"/>
      <c r="L77" s="25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30" customHeight="1" x14ac:dyDescent="0.25">
      <c r="A78" s="12"/>
      <c r="B78" s="18"/>
      <c r="C78" s="19" t="s">
        <v>37</v>
      </c>
      <c r="D78" s="43"/>
      <c r="E78" s="43"/>
      <c r="F78" s="44"/>
      <c r="G78" s="42"/>
      <c r="H78" s="42" t="s">
        <v>21</v>
      </c>
      <c r="I78" s="25"/>
      <c r="J78" s="25"/>
      <c r="K78" s="25"/>
      <c r="L78" s="25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30" customHeight="1" x14ac:dyDescent="0.25">
      <c r="A79" s="12"/>
      <c r="B79" s="18"/>
      <c r="C79" s="19" t="s">
        <v>38</v>
      </c>
      <c r="D79" s="43"/>
      <c r="E79" s="43"/>
      <c r="F79" s="41"/>
      <c r="G79" s="25"/>
      <c r="H79" s="42" t="s">
        <v>21</v>
      </c>
      <c r="I79" s="25"/>
      <c r="J79" s="25"/>
      <c r="K79" s="25"/>
      <c r="L79" s="25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30" customHeight="1" x14ac:dyDescent="0.25">
      <c r="A80" s="12"/>
      <c r="B80" s="45"/>
      <c r="C80" s="13"/>
      <c r="D80" s="13"/>
      <c r="E80" s="13"/>
      <c r="F80" s="13"/>
      <c r="G80" s="13"/>
      <c r="H80" s="25"/>
      <c r="I80" s="25"/>
      <c r="J80" s="25"/>
      <c r="K80" s="25"/>
      <c r="L80" s="25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30" customHeight="1" x14ac:dyDescent="0.25">
      <c r="A81" s="12"/>
      <c r="B81" s="45"/>
      <c r="C81" s="13"/>
      <c r="D81" s="13"/>
      <c r="E81" s="13"/>
      <c r="F81" s="13"/>
      <c r="G81" s="13"/>
      <c r="H81" s="25"/>
      <c r="I81" s="25"/>
      <c r="J81" s="25"/>
      <c r="K81" s="25"/>
      <c r="L81" s="25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30" customHeight="1" x14ac:dyDescent="0.25">
      <c r="A82" s="12"/>
      <c r="B82" s="45"/>
      <c r="C82" s="13"/>
      <c r="D82" s="13"/>
      <c r="E82" s="13"/>
      <c r="F82" s="13"/>
      <c r="G82" s="13"/>
      <c r="H82" s="25"/>
      <c r="I82" s="25"/>
      <c r="J82" s="25"/>
      <c r="K82" s="25"/>
      <c r="L82" s="25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30" customHeight="1" x14ac:dyDescent="0.25">
      <c r="A83" s="12"/>
      <c r="B83" s="45"/>
      <c r="C83" s="13"/>
      <c r="D83" s="13"/>
      <c r="E83" s="13"/>
      <c r="F83" s="13"/>
      <c r="G83" s="13"/>
      <c r="H83" s="25"/>
      <c r="I83" s="25"/>
      <c r="J83" s="25"/>
      <c r="K83" s="25"/>
      <c r="L83" s="25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30" customHeight="1" x14ac:dyDescent="0.25">
      <c r="A84" s="12"/>
      <c r="B84" s="45"/>
      <c r="C84" s="13"/>
      <c r="D84" s="13"/>
      <c r="E84" s="13"/>
      <c r="F84" s="13"/>
      <c r="G84" s="13"/>
      <c r="H84" s="25"/>
      <c r="I84" s="25"/>
      <c r="J84" s="25"/>
      <c r="K84" s="25"/>
      <c r="L84" s="25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30" customHeight="1" x14ac:dyDescent="0.25">
      <c r="A85" s="12"/>
      <c r="B85" s="45"/>
      <c r="C85" s="13"/>
      <c r="D85" s="13"/>
      <c r="E85" s="13"/>
      <c r="F85" s="13"/>
      <c r="G85" s="13"/>
      <c r="H85" s="25"/>
      <c r="I85" s="25"/>
      <c r="J85" s="25"/>
      <c r="K85" s="25"/>
      <c r="L85" s="25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30" customHeight="1" x14ac:dyDescent="0.25">
      <c r="A86" s="12"/>
      <c r="B86" s="45"/>
      <c r="C86" s="13"/>
      <c r="D86" s="13"/>
      <c r="E86" s="13"/>
      <c r="F86" s="13"/>
      <c r="G86" s="13"/>
      <c r="H86" s="25"/>
      <c r="I86" s="25"/>
      <c r="J86" s="25"/>
      <c r="K86" s="25"/>
      <c r="L86" s="25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30" customHeight="1" x14ac:dyDescent="0.25">
      <c r="A87" s="12"/>
      <c r="B87" s="45"/>
      <c r="C87" s="13"/>
      <c r="D87" s="13"/>
      <c r="E87" s="13"/>
      <c r="F87" s="13"/>
      <c r="G87" s="13"/>
      <c r="H87" s="25"/>
      <c r="I87" s="25"/>
      <c r="J87" s="25"/>
      <c r="K87" s="25"/>
      <c r="L87" s="25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30" customHeight="1" x14ac:dyDescent="0.25">
      <c r="A88" s="12"/>
      <c r="B88" s="21"/>
      <c r="C88" s="12"/>
      <c r="D88" s="12"/>
      <c r="E88" s="20"/>
      <c r="F88" s="20"/>
      <c r="G88" s="25"/>
      <c r="H88" s="25"/>
      <c r="I88" s="25"/>
      <c r="J88" s="25"/>
      <c r="K88" s="25"/>
      <c r="L88" s="25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30" customHeight="1" x14ac:dyDescent="0.25">
      <c r="A89" s="12"/>
      <c r="B89" s="21"/>
      <c r="C89" s="12"/>
      <c r="D89" s="12"/>
      <c r="E89" s="20"/>
      <c r="F89" s="20"/>
      <c r="G89" s="25"/>
      <c r="H89" s="25"/>
      <c r="I89" s="25"/>
      <c r="J89" s="25"/>
      <c r="K89" s="25"/>
      <c r="L89" s="25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30" customHeight="1" x14ac:dyDescent="0.25">
      <c r="A90" s="12"/>
      <c r="B90" s="21"/>
      <c r="C90" s="12"/>
      <c r="D90" s="12"/>
      <c r="E90" s="20"/>
      <c r="F90" s="20"/>
      <c r="G90" s="25"/>
      <c r="H90" s="25"/>
      <c r="I90" s="25"/>
      <c r="J90" s="25"/>
      <c r="K90" s="25"/>
      <c r="L90" s="25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30" customHeight="1" x14ac:dyDescent="0.25">
      <c r="A91" s="12"/>
      <c r="B91" s="21"/>
      <c r="C91" s="12"/>
      <c r="D91" s="12"/>
      <c r="E91" s="20"/>
      <c r="F91" s="20"/>
      <c r="G91" s="25"/>
      <c r="H91" s="25"/>
      <c r="I91" s="25"/>
      <c r="J91" s="25"/>
      <c r="K91" s="25"/>
      <c r="L91" s="25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30" customHeight="1" x14ac:dyDescent="0.25">
      <c r="A92" s="12"/>
      <c r="B92" s="21"/>
      <c r="C92" s="12"/>
      <c r="D92" s="12"/>
      <c r="E92" s="20"/>
      <c r="F92" s="20"/>
      <c r="G92" s="25"/>
      <c r="H92" s="25"/>
      <c r="I92" s="25"/>
      <c r="J92" s="25"/>
      <c r="K92" s="25"/>
      <c r="L92" s="25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 ht="30" customHeight="1" x14ac:dyDescent="0.25">
      <c r="A93" s="12"/>
      <c r="B93" s="21"/>
      <c r="C93" s="12"/>
      <c r="D93" s="12"/>
      <c r="E93" s="20"/>
      <c r="F93" s="20"/>
      <c r="G93" s="25"/>
      <c r="H93" s="25"/>
      <c r="I93" s="25"/>
      <c r="J93" s="25"/>
      <c r="K93" s="25"/>
      <c r="L93" s="25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30" customHeight="1" x14ac:dyDescent="0.25">
      <c r="A94" s="12"/>
      <c r="B94" s="21"/>
      <c r="C94" s="12"/>
      <c r="D94" s="12"/>
      <c r="E94" s="20"/>
      <c r="F94" s="20"/>
      <c r="G94" s="25"/>
      <c r="H94" s="25"/>
      <c r="I94" s="25"/>
      <c r="J94" s="25"/>
      <c r="K94" s="25"/>
      <c r="L94" s="25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ht="30" customHeight="1" x14ac:dyDescent="0.25">
      <c r="A95" s="12"/>
      <c r="B95" s="21"/>
      <c r="C95" s="12"/>
      <c r="D95" s="12"/>
      <c r="E95" s="20"/>
      <c r="F95" s="20"/>
      <c r="G95" s="25"/>
      <c r="H95" s="25"/>
      <c r="I95" s="25"/>
      <c r="J95" s="25"/>
      <c r="K95" s="25"/>
      <c r="L95" s="25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30" customHeight="1" x14ac:dyDescent="0.25">
      <c r="A96" s="12"/>
      <c r="B96" s="21"/>
      <c r="C96" s="12"/>
      <c r="D96" s="12"/>
      <c r="E96" s="20"/>
      <c r="F96" s="20"/>
      <c r="G96" s="25"/>
      <c r="H96" s="25"/>
      <c r="I96" s="25"/>
      <c r="J96" s="25"/>
      <c r="K96" s="25"/>
      <c r="L96" s="25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 ht="30" customHeight="1" x14ac:dyDescent="0.25">
      <c r="A97" s="12"/>
      <c r="B97" s="21"/>
      <c r="C97" s="12"/>
      <c r="D97" s="12"/>
      <c r="E97" s="20"/>
      <c r="F97" s="20"/>
      <c r="G97" s="25"/>
      <c r="H97" s="25"/>
      <c r="I97" s="25"/>
      <c r="J97" s="25"/>
      <c r="K97" s="25"/>
      <c r="L97" s="25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30" customHeight="1" x14ac:dyDescent="0.25">
      <c r="A98" s="12"/>
      <c r="B98" s="21"/>
      <c r="C98" s="12"/>
      <c r="D98" s="12"/>
      <c r="E98" s="20"/>
      <c r="F98" s="20"/>
      <c r="G98" s="25"/>
      <c r="H98" s="25"/>
      <c r="I98" s="25"/>
      <c r="J98" s="25"/>
      <c r="K98" s="25"/>
      <c r="L98" s="25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30" customHeight="1" x14ac:dyDescent="0.25">
      <c r="A99" s="12"/>
      <c r="B99" s="21"/>
      <c r="C99" s="12"/>
      <c r="D99" s="12"/>
      <c r="E99" s="20"/>
      <c r="F99" s="20"/>
      <c r="G99" s="25"/>
      <c r="H99" s="25"/>
      <c r="I99" s="25"/>
      <c r="J99" s="25"/>
      <c r="K99" s="25"/>
      <c r="L99" s="25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5.75" customHeight="1" x14ac:dyDescent="0.25">
      <c r="B100" s="21"/>
      <c r="C100" s="12"/>
      <c r="D100" s="12"/>
      <c r="E100" s="20"/>
      <c r="F100" s="20"/>
      <c r="G100" s="25"/>
      <c r="H100" s="25"/>
    </row>
    <row r="101" spans="1:22" ht="15.75" customHeight="1" x14ac:dyDescent="0.25">
      <c r="B101" s="21"/>
      <c r="C101" s="12"/>
      <c r="D101" s="12"/>
      <c r="E101" s="20"/>
      <c r="F101" s="20"/>
      <c r="G101" s="25"/>
      <c r="H101" s="25"/>
    </row>
    <row r="102" spans="1:22" ht="15.75" customHeight="1" x14ac:dyDescent="0.25">
      <c r="B102" s="21"/>
      <c r="C102" s="12"/>
      <c r="D102" s="12"/>
      <c r="E102" s="20"/>
      <c r="F102" s="20"/>
      <c r="G102" s="25"/>
      <c r="H102" s="25"/>
    </row>
    <row r="103" spans="1:22" ht="15.75" customHeight="1" x14ac:dyDescent="0.25"/>
    <row r="104" spans="1:22" ht="15.75" customHeight="1" x14ac:dyDescent="0.25"/>
    <row r="105" spans="1:22" ht="15.75" customHeight="1" x14ac:dyDescent="0.25"/>
    <row r="106" spans="1:22" ht="15.75" customHeight="1" x14ac:dyDescent="0.25"/>
    <row r="107" spans="1:22" ht="15.75" customHeight="1" x14ac:dyDescent="0.25"/>
    <row r="108" spans="1:22" ht="15.75" customHeight="1" x14ac:dyDescent="0.25"/>
    <row r="109" spans="1:22" ht="15.75" customHeight="1" x14ac:dyDescent="0.25"/>
    <row r="110" spans="1:22" ht="15.75" customHeight="1" x14ac:dyDescent="0.25"/>
    <row r="111" spans="1:22" ht="15.75" customHeight="1" x14ac:dyDescent="0.25"/>
    <row r="112" spans="1:2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6">
    <mergeCell ref="P6:Q6"/>
    <mergeCell ref="A1:I1"/>
    <mergeCell ref="A2:I2"/>
    <mergeCell ref="A3:I3"/>
    <mergeCell ref="B4:I4"/>
    <mergeCell ref="J6:L6"/>
  </mergeCells>
  <conditionalFormatting sqref="G25:G51 I60:I76 H63:H79">
    <cfRule type="containsText" dxfId="3" priority="3" operator="containsText" text="Failed">
      <formula>NOT(ISERROR(SEARCH(("Failed"),(G25))))</formula>
    </cfRule>
    <cfRule type="containsText" dxfId="2" priority="4" operator="containsText" text="Pending">
      <formula>NOT(ISERROR(SEARCH(("Pending"),(G25))))</formula>
    </cfRule>
  </conditionalFormatting>
  <conditionalFormatting sqref="I60:I76 G63:G78 B63:F79 H63:H79">
    <cfRule type="expression" dxfId="1" priority="1">
      <formula>ISODD(ROW(B60))</formula>
    </cfRule>
  </conditionalFormatting>
  <conditionalFormatting sqref="I60:I76 H63:H79 G25:G51">
    <cfRule type="containsText" dxfId="0" priority="2" operator="containsText" text="Pass">
      <formula>NOT(ISERROR(SEARCH(("Pass"),(G25))))</formula>
    </cfRule>
  </conditionalFormatting>
  <dataValidations count="3">
    <dataValidation type="list" allowBlank="1" showErrorMessage="1" sqref="H63:H79" xr:uid="{00000000-0002-0000-0000-000000000000}">
      <formula1>"Baja,Media,Alta"</formula1>
    </dataValidation>
    <dataValidation type="list" allowBlank="1" showErrorMessage="1" sqref="I60:I76" xr:uid="{00000000-0002-0000-0000-000002000000}">
      <formula1>"Pendiente,Resuelto,Descartado"</formula1>
    </dataValidation>
    <dataValidation type="list" allowBlank="1" showErrorMessage="1" sqref="G25:G51" xr:uid="{00000000-0002-0000-0000-000001000000}">
      <formula1>"Pending,Pass,Failed"</formula1>
    </dataValidation>
  </dataValidations>
  <hyperlinks>
    <hyperlink ref="A3" r:id="rId1" xr:uid="{00000000-0004-0000-0000-00000000000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 de Pruebas</vt:lpstr>
      <vt:lpstr>GradeRange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mipsanchez@gmail.com</cp:lastModifiedBy>
  <dcterms:modified xsi:type="dcterms:W3CDTF">2026-05-29T21:32:27Z</dcterms:modified>
</cp:coreProperties>
</file>